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6c5428768da686f3/Desktop/3rd Drwaing Production Update/"/>
    </mc:Choice>
  </mc:AlternateContent>
  <xr:revisionPtr revIDLastSave="86" documentId="8_{9D69D52D-37C4-4D65-8A97-F217E1EC8588}" xr6:coauthVersionLast="47" xr6:coauthVersionMax="47" xr10:uidLastSave="{00A7081F-EFFE-40D1-AD7D-FFCD8B1EA9CE}"/>
  <bookViews>
    <workbookView xWindow="-108" yWindow="-108" windowWidth="23256" windowHeight="12456" xr2:uid="{00000000-000D-0000-FFFF-FFFF00000000}"/>
  </bookViews>
  <sheets>
    <sheet name="Input" sheetId="1" r:id="rId1"/>
    <sheet name="Sheet7" sheetId="8" state="hidden" r:id="rId2"/>
    <sheet name="Sheet6" sheetId="7" state="hidden" r:id="rId3"/>
    <sheet name="Sheet5" sheetId="6" state="hidden" r:id="rId4"/>
    <sheet name="Sheet1" sheetId="2" r:id="rId5"/>
    <sheet name="Sheet2" sheetId="3" r:id="rId6"/>
  </sheets>
  <definedNames>
    <definedName name="_xlcn.WorksheetConnection_Drwaingdatainputform_old.xlsmTable_ExternalData_11" hidden="1">Table_ExternalData_1[]</definedName>
    <definedName name="_xlcn.WorksheetConnection_Drwaingdatainputform_old.xlsmTable21" hidden="1">Table2[]</definedName>
    <definedName name="_xlcn.WorksheetConnection_Sheet1L2N141" hidden="1">Sheet1!$L$2:$N$74</definedName>
    <definedName name="_xlcn.WorksheetConnection_Sheet1R11S221" hidden="1">Sheet1!$R$3:$S$10</definedName>
    <definedName name="ExternalData_1" localSheetId="1" hidden="1">Sheet7!$A$3:$B$14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Sheet1!$R$11:$S$22"/>
          <x15:modelTable id="Table2" name="Table2" connection="WorksheetConnection_Drwaing data input form_old.xlsm!Table2"/>
          <x15:modelTable id="Table_ExternalData_1" name="Table_ExternalData_1" connection="WorksheetConnection_Drwaing data input form_old.xlsm!Table_ExternalData_1"/>
          <x15:modelTable id="Range 1" name="Range 1" connection="WorksheetConnection_Sheet1!$L$2:$N$14"/>
        </x15:modelTables>
      </x15:dataModel>
    </ext>
  </extLst>
</workbook>
</file>

<file path=xl/calcChain.xml><?xml version="1.0" encoding="utf-8"?>
<calcChain xmlns="http://schemas.openxmlformats.org/spreadsheetml/2006/main">
  <c r="H3" i="1" l="1"/>
  <c r="T21" i="1" l="1"/>
  <c r="R32" i="1"/>
  <c r="U6" i="1"/>
  <c r="X22" i="1"/>
  <c r="X23" i="1"/>
  <c r="X24" i="1"/>
  <c r="X25" i="1"/>
  <c r="X26" i="1"/>
  <c r="X27" i="1"/>
  <c r="X28" i="1"/>
  <c r="X29" i="1"/>
  <c r="X30" i="1"/>
  <c r="X31" i="1"/>
  <c r="X21" i="1"/>
  <c r="W22" i="1"/>
  <c r="W23" i="1"/>
  <c r="W24" i="1"/>
  <c r="W25" i="1"/>
  <c r="W26" i="1"/>
  <c r="W27" i="1"/>
  <c r="W28" i="1"/>
  <c r="W29" i="1"/>
  <c r="W30" i="1"/>
  <c r="W31" i="1"/>
  <c r="W21" i="1"/>
  <c r="V22" i="1"/>
  <c r="V23" i="1"/>
  <c r="V24" i="1"/>
  <c r="V25" i="1"/>
  <c r="V26" i="1"/>
  <c r="V27" i="1"/>
  <c r="V28" i="1"/>
  <c r="V29" i="1"/>
  <c r="V30" i="1"/>
  <c r="V31" i="1"/>
  <c r="V21" i="1"/>
  <c r="U22" i="1"/>
  <c r="U23" i="1"/>
  <c r="U24" i="1"/>
  <c r="U25" i="1"/>
  <c r="U26" i="1"/>
  <c r="U27" i="1"/>
  <c r="U28" i="1"/>
  <c r="U29" i="1"/>
  <c r="U30" i="1"/>
  <c r="U31" i="1"/>
  <c r="U21" i="1"/>
  <c r="T22" i="1"/>
  <c r="T23" i="1"/>
  <c r="T24" i="1"/>
  <c r="T25" i="1"/>
  <c r="T26" i="1"/>
  <c r="T27" i="1"/>
  <c r="T28" i="1"/>
  <c r="T29" i="1"/>
  <c r="T30" i="1"/>
  <c r="T31" i="1"/>
  <c r="S28" i="1"/>
  <c r="S29" i="1"/>
  <c r="S30" i="1"/>
  <c r="S31" i="1"/>
  <c r="S22" i="1"/>
  <c r="S23" i="1"/>
  <c r="S24" i="1"/>
  <c r="S25" i="1"/>
  <c r="S26" i="1"/>
  <c r="S27" i="1"/>
  <c r="S21" i="1"/>
  <c r="L7" i="1"/>
  <c r="AA22" i="1" s="1"/>
  <c r="L8" i="1"/>
  <c r="P8" i="1" s="1"/>
  <c r="AE23" i="1" s="1"/>
  <c r="L9" i="1"/>
  <c r="AA24" i="1" s="1"/>
  <c r="L10" i="1"/>
  <c r="P10" i="1" s="1"/>
  <c r="AE25" i="1" s="1"/>
  <c r="L11" i="1"/>
  <c r="AA26" i="1" s="1"/>
  <c r="L12" i="1"/>
  <c r="AA27" i="1" s="1"/>
  <c r="L13" i="1"/>
  <c r="P13" i="1" s="1"/>
  <c r="AE28" i="1" s="1"/>
  <c r="L14" i="1"/>
  <c r="P14" i="1" s="1"/>
  <c r="AE29" i="1" s="1"/>
  <c r="L15" i="1"/>
  <c r="P15" i="1" s="1"/>
  <c r="AE30" i="1" s="1"/>
  <c r="L16" i="1"/>
  <c r="AA31" i="1" s="1"/>
  <c r="K16" i="1"/>
  <c r="O16" i="1" s="1"/>
  <c r="AD31" i="1" s="1"/>
  <c r="K7" i="1"/>
  <c r="O7" i="1" s="1"/>
  <c r="AD22" i="1" s="1"/>
  <c r="K8" i="1"/>
  <c r="O8" i="1" s="1"/>
  <c r="AD23" i="1" s="1"/>
  <c r="K9" i="1"/>
  <c r="O9" i="1" s="1"/>
  <c r="AD24" i="1" s="1"/>
  <c r="K10" i="1"/>
  <c r="O10" i="1" s="1"/>
  <c r="AD25" i="1" s="1"/>
  <c r="K11" i="1"/>
  <c r="Z26" i="1" s="1"/>
  <c r="K12" i="1"/>
  <c r="O12" i="1" s="1"/>
  <c r="AD27" i="1" s="1"/>
  <c r="K13" i="1"/>
  <c r="O13" i="1" s="1"/>
  <c r="AD28" i="1" s="1"/>
  <c r="K14" i="1"/>
  <c r="Z29" i="1" s="1"/>
  <c r="K15" i="1"/>
  <c r="O15" i="1" s="1"/>
  <c r="AD30" i="1" s="1"/>
  <c r="J16" i="1"/>
  <c r="Y31" i="1" s="1"/>
  <c r="J15" i="1"/>
  <c r="Y30" i="1" s="1"/>
  <c r="J14" i="1"/>
  <c r="Y29" i="1" s="1"/>
  <c r="J13" i="1"/>
  <c r="Y28" i="1" s="1"/>
  <c r="J12" i="1"/>
  <c r="N12" i="1" s="1"/>
  <c r="AC27" i="1" s="1"/>
  <c r="J11" i="1"/>
  <c r="N11" i="1" s="1"/>
  <c r="AC26" i="1" s="1"/>
  <c r="J10" i="1"/>
  <c r="Y25" i="1" s="1"/>
  <c r="J9" i="1"/>
  <c r="Y24" i="1" s="1"/>
  <c r="J8" i="1"/>
  <c r="N8" i="1" s="1"/>
  <c r="AC23" i="1" s="1"/>
  <c r="J7" i="1"/>
  <c r="Y22" i="1" s="1"/>
  <c r="L6" i="1"/>
  <c r="AA21" i="1" s="1"/>
  <c r="K6" i="1"/>
  <c r="O6" i="1" s="1"/>
  <c r="AD21" i="1" s="1"/>
  <c r="J6" i="1"/>
  <c r="Y21" i="1" s="1"/>
  <c r="AA29" i="1" l="1"/>
  <c r="AA28" i="1"/>
  <c r="Z25" i="1"/>
  <c r="Z31" i="1"/>
  <c r="Z28" i="1"/>
  <c r="Z23" i="1"/>
  <c r="Z30" i="1"/>
  <c r="Z22" i="1"/>
  <c r="Y27" i="1"/>
  <c r="AA30" i="1"/>
  <c r="AA25" i="1"/>
  <c r="Z27" i="1"/>
  <c r="Z24" i="1"/>
  <c r="Z21" i="1"/>
  <c r="Y26" i="1"/>
  <c r="Y23" i="1"/>
  <c r="AA23" i="1"/>
  <c r="M6" i="1"/>
  <c r="AB21" i="1" s="1"/>
  <c r="N16" i="1"/>
  <c r="AC31" i="1" s="1"/>
  <c r="M10" i="1"/>
  <c r="AB25" i="1" s="1"/>
  <c r="N14" i="1"/>
  <c r="AC29" i="1" s="1"/>
  <c r="M14" i="1"/>
  <c r="AB29" i="1" s="1"/>
  <c r="P11" i="1"/>
  <c r="AE26" i="1" s="1"/>
  <c r="O11" i="1"/>
  <c r="AD26" i="1" s="1"/>
  <c r="N9" i="1"/>
  <c r="AC24" i="1" s="1"/>
  <c r="M13" i="1"/>
  <c r="AB28" i="1" s="1"/>
  <c r="P6" i="1"/>
  <c r="AE21" i="1" s="1"/>
  <c r="P16" i="1"/>
  <c r="AE31" i="1" s="1"/>
  <c r="N13" i="1"/>
  <c r="AC28" i="1" s="1"/>
  <c r="P7" i="1"/>
  <c r="AE22" i="1" s="1"/>
  <c r="M7" i="1"/>
  <c r="AB22" i="1" s="1"/>
  <c r="M15" i="1"/>
  <c r="AB30" i="1" s="1"/>
  <c r="M12" i="1"/>
  <c r="AB27" i="1" s="1"/>
  <c r="P12" i="1"/>
  <c r="AE27" i="1" s="1"/>
  <c r="N10" i="1"/>
  <c r="AC25" i="1" s="1"/>
  <c r="O14" i="1"/>
  <c r="AD29" i="1" s="1"/>
  <c r="M8" i="1"/>
  <c r="AB23" i="1" s="1"/>
  <c r="M16" i="1"/>
  <c r="AB31" i="1" s="1"/>
  <c r="K17" i="1"/>
  <c r="Z32" i="1" s="1"/>
  <c r="M11" i="1"/>
  <c r="AB26" i="1" s="1"/>
  <c r="N6" i="1"/>
  <c r="AC21" i="1" s="1"/>
  <c r="N15" i="1"/>
  <c r="AC30" i="1" s="1"/>
  <c r="P9" i="1"/>
  <c r="AE24" i="1" s="1"/>
  <c r="N7" i="1"/>
  <c r="AC22" i="1" s="1"/>
  <c r="M9" i="1"/>
  <c r="AB24" i="1" s="1"/>
  <c r="L17" i="1"/>
  <c r="AA32" i="1" s="1"/>
  <c r="J17" i="1"/>
  <c r="Y32" i="1" s="1"/>
  <c r="N17" i="1" l="1"/>
  <c r="AC32" i="1" s="1"/>
  <c r="P17" i="1"/>
  <c r="AE32" i="1" s="1"/>
  <c r="O17" i="1"/>
  <c r="AD32" i="1" s="1"/>
  <c r="M17" i="1"/>
  <c r="AB32" i="1" s="1"/>
  <c r="R31" i="1" l="1"/>
  <c r="R29" i="1" l="1"/>
  <c r="R30" i="1"/>
  <c r="R27" i="1"/>
  <c r="R28" i="1"/>
  <c r="R25" i="1"/>
  <c r="R26" i="1"/>
  <c r="R23" i="1"/>
  <c r="R24" i="1"/>
  <c r="R21" i="1"/>
  <c r="R22" i="1"/>
  <c r="H17" i="1"/>
  <c r="X32" i="1" s="1"/>
  <c r="G17" i="1"/>
  <c r="W32" i="1" s="1"/>
  <c r="F17" i="1"/>
  <c r="V3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4C09C-01A3-4375-9621-34E833831610}" keepAlive="1" name="ModelConnection_ExternalData_1" description="Data Model" type="5" refreshedVersion="8" minRefreshableVersion="5" saveData="1">
    <dbPr connection="Data Model Connection" command="DRILLTHROUGH MAXROWS 1000 SELECT FROM [Model] WHERE ([Measures].[Sum of Kg]) RETURN [$Range].[M/C No],[$Range].[Kg]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382EFDC1-BA64-4284-9151-829C648D4B3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6EBD9C9-4CDB-473A-BF2B-F88FE2C5A6A5}" name="WorksheetConnection_Drwaing data input form_old.xlsm!Table_ExternalData_1" type="102" refreshedVersion="8" minRefreshableVersion="5">
    <extLst>
      <ext xmlns:x15="http://schemas.microsoft.com/office/spreadsheetml/2010/11/main" uri="{DE250136-89BD-433C-8126-D09CA5730AF9}">
        <x15:connection id="Table_ExternalData_1">
          <x15:rangePr sourceName="_xlcn.WorksheetConnection_Drwaingdatainputform_old.xlsmTable_ExternalData_11"/>
        </x15:connection>
      </ext>
    </extLst>
  </connection>
  <connection id="4" xr16:uid="{B0A0DC8C-639D-44CA-B148-1848C6C3A4E7}" name="WorksheetConnection_Drwaing data input form_old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Drwaingdatainputform_old.xlsmTable21"/>
        </x15:connection>
      </ext>
    </extLst>
  </connection>
  <connection id="5" xr16:uid="{1CD443D7-8296-4AF0-89CA-862FB280DB68}" name="WorksheetConnection_Sheet1!$L$2:$N$14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Sheet1L2N141"/>
        </x15:connection>
      </ext>
    </extLst>
  </connection>
  <connection id="6" xr16:uid="{D67DDFB8-500D-4F16-96D4-B5050DA8B74F}" name="WorksheetConnection_Sheet1!$R$11:$S$22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Sheet1R11S221"/>
        </x15:connection>
      </ext>
    </extLst>
  </connection>
</connections>
</file>

<file path=xl/sharedStrings.xml><?xml version="1.0" encoding="utf-8"?>
<sst xmlns="http://schemas.openxmlformats.org/spreadsheetml/2006/main" count="213" uniqueCount="38">
  <si>
    <t>M/C No</t>
  </si>
  <si>
    <t>R/A</t>
  </si>
  <si>
    <t>R/B</t>
  </si>
  <si>
    <t>R/C</t>
  </si>
  <si>
    <t>Quality-1</t>
  </si>
  <si>
    <t>Quality-2</t>
  </si>
  <si>
    <t>10/1 lbs</t>
  </si>
  <si>
    <t>6/1 lbs</t>
  </si>
  <si>
    <t>7/1 lbs</t>
  </si>
  <si>
    <t>7.25/1 lbs</t>
  </si>
  <si>
    <t>7.7/1 lbs</t>
  </si>
  <si>
    <t>8/1 lbs</t>
  </si>
  <si>
    <t>8.25/1 lbs</t>
  </si>
  <si>
    <t>8.5/1 lbs</t>
  </si>
  <si>
    <t>9/1 lbs</t>
  </si>
  <si>
    <t>10.5/1 lbs</t>
  </si>
  <si>
    <t>11/1 lbs</t>
  </si>
  <si>
    <t>12/1 lbs</t>
  </si>
  <si>
    <t>-</t>
  </si>
  <si>
    <t>Date</t>
  </si>
  <si>
    <t>Length</t>
  </si>
  <si>
    <t>Kg</t>
  </si>
  <si>
    <t>3rd DRAWING PRODUCTION REPORT</t>
  </si>
  <si>
    <t>Total</t>
  </si>
  <si>
    <t>R/A2</t>
  </si>
  <si>
    <t>R/B3</t>
  </si>
  <si>
    <t>13/1 lbs</t>
  </si>
  <si>
    <t>14/1 lbs</t>
  </si>
  <si>
    <t>R/B2</t>
  </si>
  <si>
    <t>R/C2</t>
  </si>
  <si>
    <t>R/A3</t>
  </si>
  <si>
    <t>R/C3</t>
  </si>
  <si>
    <t>Sum of M/C No</t>
  </si>
  <si>
    <t>Sum of Kg</t>
  </si>
  <si>
    <t>Data returned for Sum of Kg (First 1000 rows).</t>
  </si>
  <si>
    <t>[M/C No]</t>
  </si>
  <si>
    <t>[Kg]</t>
  </si>
  <si>
    <t>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</si>
</sst>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double">
        <color theme="3" tint="-0.249977111117893"/>
      </left>
      <right style="double">
        <color theme="3" tint="-0.249977111117893"/>
      </right>
      <top style="double">
        <color theme="3" tint="-0.249977111117893"/>
      </top>
      <bottom style="double">
        <color theme="3" tint="-0.249977111117893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2" borderId="2" applyNumberFormat="0" applyAlignment="0" applyProtection="0"/>
  </cellStyleXfs>
  <cellXfs count="39">
    <xf numFmtId="0" fontId="0" fillId="0" borderId="0" xfId="0"/>
    <xf numFmtId="0" fontId="0" fillId="3" borderId="0" xfId="0" applyFill="1"/>
    <xf numFmtId="0" fontId="0" fillId="4" borderId="6" xfId="0" applyFill="1" applyBorder="1"/>
    <xf numFmtId="0" fontId="0" fillId="4" borderId="0" xfId="0" applyFill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5" borderId="1" xfId="0" applyFill="1" applyBorder="1"/>
    <xf numFmtId="0" fontId="2" fillId="5" borderId="1" xfId="0" applyFont="1" applyFill="1" applyBorder="1" applyAlignment="1">
      <alignment horizontal="center"/>
    </xf>
    <xf numFmtId="0" fontId="0" fillId="5" borderId="12" xfId="0" applyFill="1" applyBorder="1"/>
    <xf numFmtId="0" fontId="0" fillId="5" borderId="13" xfId="0" applyFill="1" applyBorder="1"/>
    <xf numFmtId="0" fontId="0" fillId="5" borderId="15" xfId="0" applyFill="1" applyBorder="1"/>
    <xf numFmtId="0" fontId="2" fillId="5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5" fillId="2" borderId="17" xfId="1" applyFont="1" applyBorder="1"/>
    <xf numFmtId="0" fontId="5" fillId="2" borderId="2" xfId="1" applyFont="1"/>
    <xf numFmtId="0" fontId="2" fillId="5" borderId="11" xfId="0" applyFont="1" applyFill="1" applyBorder="1" applyAlignment="1">
      <alignment horizontal="center"/>
    </xf>
    <xf numFmtId="0" fontId="5" fillId="2" borderId="21" xfId="1" applyFont="1" applyBorder="1"/>
    <xf numFmtId="0" fontId="0" fillId="5" borderId="11" xfId="0" applyFill="1" applyBorder="1"/>
    <xf numFmtId="0" fontId="2" fillId="5" borderId="20" xfId="0" applyFont="1" applyFill="1" applyBorder="1" applyAlignment="1">
      <alignment horizontal="center"/>
    </xf>
    <xf numFmtId="0" fontId="0" fillId="5" borderId="20" xfId="0" applyFill="1" applyBorder="1"/>
    <xf numFmtId="14" fontId="4" fillId="6" borderId="4" xfId="0" applyNumberFormat="1" applyFont="1" applyFill="1" applyBorder="1"/>
    <xf numFmtId="0" fontId="4" fillId="6" borderId="5" xfId="0" applyFont="1" applyFill="1" applyBorder="1"/>
    <xf numFmtId="14" fontId="0" fillId="0" borderId="0" xfId="0" applyNumberFormat="1"/>
    <xf numFmtId="0" fontId="2" fillId="5" borderId="20" xfId="0" applyFont="1" applyFill="1" applyBorder="1"/>
    <xf numFmtId="0" fontId="2" fillId="0" borderId="0" xfId="0" applyFont="1"/>
    <xf numFmtId="0" fontId="1" fillId="3" borderId="0" xfId="0" applyFont="1" applyFill="1" applyAlignment="1">
      <alignment horizontal="center" vertical="center"/>
    </xf>
    <xf numFmtId="14" fontId="0" fillId="3" borderId="0" xfId="0" applyNumberFormat="1" applyFill="1"/>
    <xf numFmtId="0" fontId="4" fillId="3" borderId="0" xfId="0" applyFont="1" applyFill="1"/>
    <xf numFmtId="14" fontId="2" fillId="0" borderId="0" xfId="0" applyNumberFormat="1" applyFont="1"/>
    <xf numFmtId="14" fontId="0" fillId="7" borderId="0" xfId="0" applyNumberFormat="1" applyFill="1"/>
    <xf numFmtId="0" fontId="0" fillId="7" borderId="0" xfId="0" applyFill="1"/>
    <xf numFmtId="0" fontId="3" fillId="6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2" fillId="7" borderId="22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</cellXfs>
  <cellStyles count="2">
    <cellStyle name="Check Cell" xfId="1" builtinId="23"/>
    <cellStyle name="Normal" xfId="0" builtinId="0"/>
  </cellStyles>
  <dxfs count="5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E2D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Efficiency%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813922356091031E-2"/>
          <c:y val="0.21314814814814814"/>
          <c:w val="0.92637215528781791"/>
          <c:h val="0.6436526684164479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R/A</c:v>
              </c:pt>
              <c:pt idx="1">
                <c:v> R/B</c:v>
              </c:pt>
              <c:pt idx="2">
                <c:v> R/C</c:v>
              </c:pt>
            </c:strLit>
          </c:cat>
          <c:val>
            <c:numRef>
              <c:f>Sheet2!$L$12:$N$12</c:f>
              <c:numCache>
                <c:formatCode>General</c:formatCode>
                <c:ptCount val="3"/>
                <c:pt idx="0">
                  <c:v>40.72</c:v>
                </c:pt>
                <c:pt idx="1">
                  <c:v>41.2</c:v>
                </c:pt>
                <c:pt idx="2">
                  <c:v>42.62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C2-4E06-A500-25CA0F57137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90"/>
        <c:overlap val="-70"/>
        <c:axId val="190818127"/>
        <c:axId val="190824847"/>
      </c:barChart>
      <c:catAx>
        <c:axId val="19081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847"/>
        <c:crosses val="autoZero"/>
        <c:auto val="1"/>
        <c:lblAlgn val="ctr"/>
        <c:lblOffset val="100"/>
        <c:noMultiLvlLbl val="0"/>
      </c:catAx>
      <c:valAx>
        <c:axId val="1908248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818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noFill/>
      <a:prstDash val="solid"/>
      <a:round/>
    </a:ln>
    <a:effectLst/>
    <a:scene3d>
      <a:camera prst="orthographicFront"/>
      <a:lightRig rig="threePt" dir="t"/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Shift-wise Production (Kg</a:t>
            </a:r>
            <a:r>
              <a:rPr lang="en-US">
                <a:solidFill>
                  <a:sysClr val="windowText" lastClr="000000"/>
                </a:solidFill>
              </a:rPr>
              <a:t>) </a:t>
            </a:r>
          </a:p>
        </c:rich>
      </c:tx>
      <c:layout>
        <c:manualLayout>
          <c:xMode val="edge"/>
          <c:yMode val="edge"/>
          <c:x val="0.21001291989664087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813922356091031E-2"/>
          <c:y val="0.15759259259259259"/>
          <c:w val="0.92637215528781791"/>
          <c:h val="0.6992082239720035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2299741602067333E-3"/>
                  <c:y val="0.111111111111111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640-41B3-B3B6-FA7BCD9F370E}"/>
                </c:ext>
              </c:extLst>
            </c:dLbl>
            <c:dLbl>
              <c:idx val="1"/>
              <c:layout>
                <c:manualLayout>
                  <c:x val="-3.2299741602067182E-3"/>
                  <c:y val="0.1172839506172839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0-41B3-B3B6-FA7BCD9F370E}"/>
                </c:ext>
              </c:extLst>
            </c:dLbl>
            <c:dLbl>
              <c:idx val="2"/>
              <c:layout>
                <c:manualLayout>
                  <c:x val="0"/>
                  <c:y val="0.1172839506172839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0-41B3-B3B6-FA7BCD9F37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ysClr val="windowText" lastClr="000000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R/A</c:v>
              </c:pt>
              <c:pt idx="1">
                <c:v> R/B</c:v>
              </c:pt>
              <c:pt idx="2">
                <c:v> R/C</c:v>
              </c:pt>
            </c:strLit>
          </c:cat>
          <c:val>
            <c:numRef>
              <c:f>Sheet2!$H$12:$J$12</c:f>
              <c:numCache>
                <c:formatCode>General</c:formatCode>
                <c:ptCount val="3"/>
                <c:pt idx="0">
                  <c:v>11646.05</c:v>
                </c:pt>
                <c:pt idx="1">
                  <c:v>11785.19</c:v>
                </c:pt>
                <c:pt idx="2">
                  <c:v>12189.62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1B3-B3B6-FA7BCD9F3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70"/>
        <c:axId val="1412492319"/>
        <c:axId val="1412472159"/>
      </c:barChart>
      <c:catAx>
        <c:axId val="141249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72159"/>
        <c:crosses val="autoZero"/>
        <c:auto val="1"/>
        <c:lblAlgn val="ctr"/>
        <c:lblOffset val="100"/>
        <c:noMultiLvlLbl val="0"/>
      </c:catAx>
      <c:valAx>
        <c:axId val="1412472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249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  <a:scene3d>
      <a:camera prst="orthographicFront"/>
      <a:lightRig rig="threePt" dir="t"/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 b="0" cap="none" spc="0">
          <a:ln w="0"/>
          <a:solidFill>
            <a:sysClr val="windowText" lastClr="000000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Machine-wise</a:t>
            </a:r>
            <a:r>
              <a:rPr lang="en-US" b="1" baseline="0">
                <a:solidFill>
                  <a:sysClr val="windowText" lastClr="000000"/>
                </a:solidFill>
              </a:rPr>
              <a:t> Per Shift Production (Kg)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546612083937268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824212271973466E-2"/>
          <c:y val="0.16830394626364401"/>
          <c:w val="0.96351575456053073"/>
          <c:h val="0.69284892600011905"/>
        </c:manualLayout>
      </c:layout>
      <c:barChart>
        <c:barDir val="col"/>
        <c:grouping val="clustered"/>
        <c:varyColors val="0"/>
        <c:ser>
          <c:idx val="0"/>
          <c:order val="0"/>
          <c:tx>
            <c:v>R/A</c:v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Sheet2!$H$1:$H$11</c:f>
              <c:numCache>
                <c:formatCode>General</c:formatCode>
                <c:ptCount val="11"/>
                <c:pt idx="0">
                  <c:v>998.71</c:v>
                </c:pt>
                <c:pt idx="1">
                  <c:v>896.11</c:v>
                </c:pt>
                <c:pt idx="2">
                  <c:v>989.11</c:v>
                </c:pt>
                <c:pt idx="3">
                  <c:v>954.56</c:v>
                </c:pt>
                <c:pt idx="4">
                  <c:v>908.06</c:v>
                </c:pt>
                <c:pt idx="5">
                  <c:v>1100.6099999999999</c:v>
                </c:pt>
                <c:pt idx="6">
                  <c:v>1473.18</c:v>
                </c:pt>
                <c:pt idx="7">
                  <c:v>1149.92</c:v>
                </c:pt>
                <c:pt idx="8">
                  <c:v>946.83</c:v>
                </c:pt>
                <c:pt idx="9">
                  <c:v>898.69</c:v>
                </c:pt>
                <c:pt idx="10">
                  <c:v>1330.29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EB-4387-A0B5-4064FBF5DC9C}"/>
            </c:ext>
          </c:extLst>
        </c:ser>
        <c:ser>
          <c:idx val="1"/>
          <c:order val="1"/>
          <c:tx>
            <c:v>R/B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Sheet2!$I$1:$I$11</c:f>
              <c:numCache>
                <c:formatCode>General</c:formatCode>
                <c:ptCount val="11"/>
                <c:pt idx="0">
                  <c:v>1303.82</c:v>
                </c:pt>
                <c:pt idx="1">
                  <c:v>1195.71</c:v>
                </c:pt>
                <c:pt idx="2">
                  <c:v>1045.21</c:v>
                </c:pt>
                <c:pt idx="3">
                  <c:v>921.64</c:v>
                </c:pt>
                <c:pt idx="4">
                  <c:v>1290.82</c:v>
                </c:pt>
                <c:pt idx="5">
                  <c:v>1244.9000000000001</c:v>
                </c:pt>
                <c:pt idx="6">
                  <c:v>1145.82</c:v>
                </c:pt>
                <c:pt idx="7">
                  <c:v>1089.3599999999999</c:v>
                </c:pt>
                <c:pt idx="8">
                  <c:v>828.06</c:v>
                </c:pt>
                <c:pt idx="9">
                  <c:v>857.23</c:v>
                </c:pt>
                <c:pt idx="10">
                  <c:v>862.61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EB-4387-A0B5-4064FBF5DC9C}"/>
            </c:ext>
          </c:extLst>
        </c:ser>
        <c:ser>
          <c:idx val="2"/>
          <c:order val="2"/>
          <c:tx>
            <c:v>R/C</c:v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Sheet2!$J$1:$J$11</c:f>
              <c:numCache>
                <c:formatCode>General</c:formatCode>
                <c:ptCount val="11"/>
                <c:pt idx="0">
                  <c:v>1234.25</c:v>
                </c:pt>
                <c:pt idx="1">
                  <c:v>1185.17</c:v>
                </c:pt>
                <c:pt idx="2">
                  <c:v>1054.3399999999999</c:v>
                </c:pt>
                <c:pt idx="3">
                  <c:v>1051.53</c:v>
                </c:pt>
                <c:pt idx="4">
                  <c:v>1209.18</c:v>
                </c:pt>
                <c:pt idx="5">
                  <c:v>1255.8</c:v>
                </c:pt>
                <c:pt idx="6">
                  <c:v>1006.56</c:v>
                </c:pt>
                <c:pt idx="7">
                  <c:v>934.88</c:v>
                </c:pt>
                <c:pt idx="8">
                  <c:v>1184.5899999999999</c:v>
                </c:pt>
                <c:pt idx="9">
                  <c:v>1027.99</c:v>
                </c:pt>
                <c:pt idx="10">
                  <c:v>1045.33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EB-4387-A0B5-4064FBF5DC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7"/>
        <c:axId val="39433711"/>
        <c:axId val="39428431"/>
      </c:barChart>
      <c:catAx>
        <c:axId val="394337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8431"/>
        <c:crosses val="autoZero"/>
        <c:auto val="1"/>
        <c:lblAlgn val="ctr"/>
        <c:lblOffset val="100"/>
        <c:noMultiLvlLbl val="0"/>
      </c:catAx>
      <c:valAx>
        <c:axId val="3942843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943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74142411303059"/>
          <c:y val="0.92915567543981437"/>
          <c:w val="0.2165170211932464"/>
          <c:h val="7.08443245601856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Machine-wise Production</a:t>
            </a:r>
          </a:p>
        </c:rich>
      </c:tx>
      <c:layout>
        <c:manualLayout>
          <c:xMode val="edge"/>
          <c:yMode val="edge"/>
          <c:x val="0.4067152230971128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Sheet7!$A$4:$A$14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Sheet7!$B$4:$B$14</c:f>
              <c:numCache>
                <c:formatCode>General</c:formatCode>
                <c:ptCount val="11"/>
                <c:pt idx="0">
                  <c:v>3271.73</c:v>
                </c:pt>
                <c:pt idx="1">
                  <c:v>2993.56</c:v>
                </c:pt>
                <c:pt idx="2">
                  <c:v>3190.09</c:v>
                </c:pt>
                <c:pt idx="3">
                  <c:v>2976.34</c:v>
                </c:pt>
                <c:pt idx="4">
                  <c:v>2494.2600000000002</c:v>
                </c:pt>
                <c:pt idx="5">
                  <c:v>2671.58</c:v>
                </c:pt>
                <c:pt idx="6">
                  <c:v>4078.12</c:v>
                </c:pt>
                <c:pt idx="7">
                  <c:v>2895.06</c:v>
                </c:pt>
                <c:pt idx="8">
                  <c:v>2399.16</c:v>
                </c:pt>
                <c:pt idx="9">
                  <c:v>3011.59</c:v>
                </c:pt>
                <c:pt idx="10">
                  <c:v>2882.99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55-4113-A960-F1C384625B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55046736"/>
        <c:axId val="1155032336"/>
      </c:barChart>
      <c:catAx>
        <c:axId val="1155046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Machine 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032336"/>
        <c:crosses val="autoZero"/>
        <c:auto val="1"/>
        <c:lblAlgn val="ctr"/>
        <c:lblOffset val="100"/>
        <c:noMultiLvlLbl val="0"/>
      </c:catAx>
      <c:valAx>
        <c:axId val="11550323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04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Efficiency%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R/A</c:v>
              </c:pt>
              <c:pt idx="1">
                <c:v> R/B</c:v>
              </c:pt>
              <c:pt idx="2">
                <c:v> R/C</c:v>
              </c:pt>
            </c:strLit>
          </c:cat>
          <c:val>
            <c:numRef>
              <c:f>Sheet2!$L$12:$N$12</c:f>
              <c:numCache>
                <c:formatCode>General</c:formatCode>
                <c:ptCount val="3"/>
                <c:pt idx="0">
                  <c:v>40.72</c:v>
                </c:pt>
                <c:pt idx="1">
                  <c:v>41.2</c:v>
                </c:pt>
                <c:pt idx="2">
                  <c:v>42.62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77-4376-894B-E8C130C3CEF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90"/>
        <c:overlap val="-70"/>
        <c:axId val="190818127"/>
        <c:axId val="190824847"/>
      </c:barChart>
      <c:catAx>
        <c:axId val="19081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4847"/>
        <c:crosses val="autoZero"/>
        <c:auto val="1"/>
        <c:lblAlgn val="ctr"/>
        <c:lblOffset val="100"/>
        <c:noMultiLvlLbl val="0"/>
      </c:catAx>
      <c:valAx>
        <c:axId val="1908248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818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Shift-wise Production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R/A</c:v>
              </c:pt>
              <c:pt idx="1">
                <c:v> R/B</c:v>
              </c:pt>
              <c:pt idx="2">
                <c:v> R/C</c:v>
              </c:pt>
            </c:strLit>
          </c:cat>
          <c:val>
            <c:numRef>
              <c:f>Sheet2!$H$12:$J$12</c:f>
              <c:numCache>
                <c:formatCode>General</c:formatCode>
                <c:ptCount val="3"/>
                <c:pt idx="0">
                  <c:v>11646.05</c:v>
                </c:pt>
                <c:pt idx="1">
                  <c:v>11785.19</c:v>
                </c:pt>
                <c:pt idx="2">
                  <c:v>12189.62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69-4D9C-9267-85CAE265A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70"/>
        <c:axId val="1412492319"/>
        <c:axId val="1412472159"/>
      </c:barChart>
      <c:catAx>
        <c:axId val="141249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72159"/>
        <c:crosses val="autoZero"/>
        <c:auto val="1"/>
        <c:lblAlgn val="ctr"/>
        <c:lblOffset val="100"/>
        <c:noMultiLvlLbl val="0"/>
      </c:catAx>
      <c:valAx>
        <c:axId val="1412472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249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Machine-wise</a:t>
            </a:r>
            <a:r>
              <a:rPr lang="en-US" b="1" baseline="0"/>
              <a:t> Per Shift Production (Kg)</a:t>
            </a:r>
            <a:endParaRPr lang="en-US" b="1"/>
          </a:p>
        </c:rich>
      </c:tx>
      <c:layout>
        <c:manualLayout>
          <c:xMode val="edge"/>
          <c:yMode val="edge"/>
          <c:x val="0.3546612083937268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824212271973466E-2"/>
          <c:y val="0.15570948782535685"/>
          <c:w val="0.96351575456053073"/>
          <c:h val="0.7054433844384061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Sheet2!$H$1:$H$11</c:f>
              <c:numCache>
                <c:formatCode>General</c:formatCode>
                <c:ptCount val="11"/>
                <c:pt idx="0">
                  <c:v>998.71</c:v>
                </c:pt>
                <c:pt idx="1">
                  <c:v>896.11</c:v>
                </c:pt>
                <c:pt idx="2">
                  <c:v>989.11</c:v>
                </c:pt>
                <c:pt idx="3">
                  <c:v>954.56</c:v>
                </c:pt>
                <c:pt idx="4">
                  <c:v>908.06</c:v>
                </c:pt>
                <c:pt idx="5">
                  <c:v>1100.6099999999999</c:v>
                </c:pt>
                <c:pt idx="6">
                  <c:v>1473.18</c:v>
                </c:pt>
                <c:pt idx="7">
                  <c:v>1149.92</c:v>
                </c:pt>
                <c:pt idx="8">
                  <c:v>946.83</c:v>
                </c:pt>
                <c:pt idx="9">
                  <c:v>898.69</c:v>
                </c:pt>
                <c:pt idx="10">
                  <c:v>1330.29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90-4187-B4AA-431F5F785C6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Sheet2!$I$1:$I$11</c:f>
              <c:numCache>
                <c:formatCode>General</c:formatCode>
                <c:ptCount val="11"/>
                <c:pt idx="0">
                  <c:v>1303.82</c:v>
                </c:pt>
                <c:pt idx="1">
                  <c:v>1195.71</c:v>
                </c:pt>
                <c:pt idx="2">
                  <c:v>1045.21</c:v>
                </c:pt>
                <c:pt idx="3">
                  <c:v>921.64</c:v>
                </c:pt>
                <c:pt idx="4">
                  <c:v>1290.82</c:v>
                </c:pt>
                <c:pt idx="5">
                  <c:v>1244.9000000000001</c:v>
                </c:pt>
                <c:pt idx="6">
                  <c:v>1145.82</c:v>
                </c:pt>
                <c:pt idx="7">
                  <c:v>1089.3599999999999</c:v>
                </c:pt>
                <c:pt idx="8">
                  <c:v>828.06</c:v>
                </c:pt>
                <c:pt idx="9">
                  <c:v>857.23</c:v>
                </c:pt>
                <c:pt idx="10">
                  <c:v>862.61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90-4187-B4AA-431F5F785C6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Sheet2!$J$1:$J$11</c:f>
              <c:numCache>
                <c:formatCode>General</c:formatCode>
                <c:ptCount val="11"/>
                <c:pt idx="0">
                  <c:v>1234.25</c:v>
                </c:pt>
                <c:pt idx="1">
                  <c:v>1185.17</c:v>
                </c:pt>
                <c:pt idx="2">
                  <c:v>1054.3399999999999</c:v>
                </c:pt>
                <c:pt idx="3">
                  <c:v>1051.53</c:v>
                </c:pt>
                <c:pt idx="4">
                  <c:v>1209.18</c:v>
                </c:pt>
                <c:pt idx="5">
                  <c:v>1255.8</c:v>
                </c:pt>
                <c:pt idx="6">
                  <c:v>1006.56</c:v>
                </c:pt>
                <c:pt idx="7">
                  <c:v>934.88</c:v>
                </c:pt>
                <c:pt idx="8">
                  <c:v>1184.5899999999999</c:v>
                </c:pt>
                <c:pt idx="9">
                  <c:v>1027.99</c:v>
                </c:pt>
                <c:pt idx="10">
                  <c:v>1045.33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90-4187-B4AA-431F5F785C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7"/>
        <c:axId val="39433711"/>
        <c:axId val="39428431"/>
      </c:barChart>
      <c:catAx>
        <c:axId val="394337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8431"/>
        <c:crosses val="autoZero"/>
        <c:auto val="1"/>
        <c:lblAlgn val="ctr"/>
        <c:lblOffset val="100"/>
        <c:noMultiLvlLbl val="0"/>
      </c:catAx>
      <c:valAx>
        <c:axId val="3942843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943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74142411303059"/>
          <c:y val="0.92915567543981437"/>
          <c:w val="0.2165170211932464"/>
          <c:h val="7.08443245601856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17</xdr:row>
          <xdr:rowOff>15240</xdr:rowOff>
        </xdr:from>
        <xdr:to>
          <xdr:col>8</xdr:col>
          <xdr:colOff>30480</xdr:colOff>
          <xdr:row>17</xdr:row>
          <xdr:rowOff>182880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30480</xdr:colOff>
      <xdr:row>0</xdr:row>
      <xdr:rowOff>15240</xdr:rowOff>
    </xdr:from>
    <xdr:to>
      <xdr:col>37</xdr:col>
      <xdr:colOff>304800</xdr:colOff>
      <xdr:row>10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4E6D34-FEEB-4BE4-9D38-D3447486E3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320040</xdr:colOff>
      <xdr:row>0</xdr:row>
      <xdr:rowOff>0</xdr:rowOff>
    </xdr:from>
    <xdr:to>
      <xdr:col>43</xdr:col>
      <xdr:colOff>594360</xdr:colOff>
      <xdr:row>10</xdr:row>
      <xdr:rowOff>106680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836CEC-34EC-4C46-B91D-1D09EBA7C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30480</xdr:colOff>
      <xdr:row>10</xdr:row>
      <xdr:rowOff>144780</xdr:rowOff>
    </xdr:from>
    <xdr:to>
      <xdr:col>43</xdr:col>
      <xdr:colOff>571500</xdr:colOff>
      <xdr:row>26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44EA55-182F-46E7-B4F0-93DCEE47C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</xdr:colOff>
      <xdr:row>6</xdr:row>
      <xdr:rowOff>160020</xdr:rowOff>
    </xdr:from>
    <xdr:to>
      <xdr:col>14</xdr:col>
      <xdr:colOff>373380</xdr:colOff>
      <xdr:row>21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64EC38-58BA-4936-C47B-E94C32CEC4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259080</xdr:colOff>
      <xdr:row>0</xdr:row>
      <xdr:rowOff>22860</xdr:rowOff>
    </xdr:from>
    <xdr:to>
      <xdr:col>19</xdr:col>
      <xdr:colOff>563880</xdr:colOff>
      <xdr:row>15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9B8C2A-9C90-AF21-72C2-22C20FC3C5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411480</xdr:colOff>
      <xdr:row>0</xdr:row>
      <xdr:rowOff>38100</xdr:rowOff>
    </xdr:from>
    <xdr:to>
      <xdr:col>25</xdr:col>
      <xdr:colOff>106680</xdr:colOff>
      <xdr:row>15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6770308-E7FC-B727-6D8B-43BBA4C24D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12</xdr:col>
      <xdr:colOff>297180</xdr:colOff>
      <xdr:row>16</xdr:row>
      <xdr:rowOff>99060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ADBB82A-9F7D-479B-04C1-866E0074A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54.465515046293" createdVersion="8" refreshedVersion="8" minRefreshableVersion="3" recordCount="11" xr:uid="{50698FBD-D0E8-4038-986E-69D36047576A}">
  <cacheSource type="worksheet">
    <worksheetSource ref="R3:S10" sheet="Sheet1"/>
  </cacheSource>
  <cacheFields count="2">
    <cacheField name="M/C No" numFmtId="0">
      <sharedItems containsSemiMixedTypes="0" containsString="0" containsNumber="1" containsInteger="1" minValue="1" maxValue="11"/>
    </cacheField>
    <cacheField name="Kg" numFmtId="0">
      <sharedItems containsSemiMixedTypes="0" containsString="0" containsNumber="1" minValue="2399.16" maxValue="4078.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554.465758101855" backgroundQuery="1" createdVersion="8" refreshedVersion="8" minRefreshableVersion="3" recordCount="0" supportSubquery="1" supportAdvancedDrill="1" xr:uid="{D3A17876-0E18-4CC8-9CE1-510069D4B5E0}">
  <cacheSource type="external" connectionId="2"/>
  <cacheFields count="2">
    <cacheField name="[Measures].[Sum of M/C No]" caption="Sum of M/C No" numFmtId="0" hierarchy="26" level="32767"/>
    <cacheField name="[Measures].[Sum of Kg]" caption="Sum of Kg" numFmtId="0" hierarchy="27" level="32767"/>
  </cacheFields>
  <cacheHierarchies count="39">
    <cacheHierarchy uniqueName="[Range].[M/C No]" caption="M/C No" attribute="1" defaultMemberUniqueName="[Range].[M/C No].[All]" allUniqueName="[Range].[M/C No].[All]" dimensionUniqueName="[Range]" displayFolder="" count="0" memberValueDatatype="20" unbalanced="0"/>
    <cacheHierarchy uniqueName="[Range].[Kg]" caption="Kg" attribute="1" defaultMemberUniqueName="[Range].[Kg].[All]" allUniqueName="[Range].[Kg].[All]" dimensionUniqueName="[Range]" displayFolder="" count="0" memberValueDatatype="5" unbalanced="0"/>
    <cacheHierarchy uniqueName="[Range 1].[R/A3]" caption="R/A3" attribute="1" defaultMemberUniqueName="[Range 1].[R/A3].[All]" allUniqueName="[Range 1].[R/A3].[All]" dimensionUniqueName="[Range 1]" displayFolder="" count="0" memberValueDatatype="5" unbalanced="0"/>
    <cacheHierarchy uniqueName="[Range 1].[R/B3]" caption="R/B3" attribute="1" defaultMemberUniqueName="[Range 1].[R/B3].[All]" allUniqueName="[Range 1].[R/B3].[All]" dimensionUniqueName="[Range 1]" displayFolder="" count="0" memberValueDatatype="5" unbalanced="0"/>
    <cacheHierarchy uniqueName="[Range 1].[R/C3]" caption="R/C3" attribute="1" defaultMemberUniqueName="[Range 1].[R/C3].[All]" allUniqueName="[Range 1].[R/C3].[All]" dimensionUniqueName="[Range 1]" displayFolder="" count="0" memberValueDatatype="5" unbalanced="0"/>
    <cacheHierarchy uniqueName="[Table_ExternalData_1].[[M/C No]]]" caption="[M/C No]" attribute="1" defaultMemberUniqueName="[Table_ExternalData_1].[[M/C No]]].[All]" allUniqueName="[Table_ExternalData_1].[[M/C No]]].[All]" dimensionUniqueName="[Table_ExternalData_1]" displayFolder="" count="0" memberValueDatatype="20" unbalanced="0"/>
    <cacheHierarchy uniqueName="[Table_ExternalData_1].[[Kg]]]" caption="[Kg]" attribute="1" defaultMemberUniqueName="[Table_ExternalData_1].[[Kg]]].[All]" allUniqueName="[Table_ExternalData_1].[[Kg]]].[All]" dimensionUniqueName="[Table_ExternalData_1]" displayFolder="" count="0" memberValueDatatype="5" unbalanced="0"/>
    <cacheHierarchy uniqueName="[Table2].[Date]" caption="Date" attribute="1" defaultMemberUniqueName="[Table2].[Date].[All]" allUniqueName="[Table2].[Date].[All]" dimensionUniqueName="[Table2]" displayFolder="" count="0" memberValueDatatype="130" unbalanced="0"/>
    <cacheHierarchy uniqueName="[Table2].[M/C No]" caption="M/C No" attribute="1" defaultMemberUniqueName="[Table2].[M/C No].[All]" allUniqueName="[Table2].[M/C No].[All]" dimensionUniqueName="[Table2]" displayFolder="" count="0" memberValueDatatype="130" unbalanced="0"/>
    <cacheHierarchy uniqueName="[Table2].[Quality-1]" caption="Quality-1" attribute="1" defaultMemberUniqueName="[Table2].[Quality-1].[All]" allUniqueName="[Table2].[Quality-1].[All]" dimensionUniqueName="[Table2]" displayFolder="" count="0" memberValueDatatype="130" unbalanced="0"/>
    <cacheHierarchy uniqueName="[Table2].[Quality-2]" caption="Quality-2" attribute="1" defaultMemberUniqueName="[Table2].[Quality-2].[All]" allUniqueName="[Table2].[Quality-2].[All]" dimensionUniqueName="[Table2]" displayFolder="" count="0" memberValueDatatype="130" unbalanced="0"/>
    <cacheHierarchy uniqueName="[Table2].[R/A]" caption="R/A" attribute="1" defaultMemberUniqueName="[Table2].[R/A].[All]" allUniqueName="[Table2].[R/A].[All]" dimensionUniqueName="[Table2]" displayFolder="" count="0" memberValueDatatype="20" unbalanced="0"/>
    <cacheHierarchy uniqueName="[Table2].[R/B]" caption="R/B" attribute="1" defaultMemberUniqueName="[Table2].[R/B].[All]" allUniqueName="[Table2].[R/B].[All]" dimensionUniqueName="[Table2]" displayFolder="" count="0" memberValueDatatype="20" unbalanced="0"/>
    <cacheHierarchy uniqueName="[Table2].[R/C]" caption="R/C" attribute="1" defaultMemberUniqueName="[Table2].[R/C].[All]" allUniqueName="[Table2].[R/C].[All]" dimensionUniqueName="[Table2]" displayFolder="" count="0" memberValueDatatype="20" unbalanced="0"/>
    <cacheHierarchy uniqueName="[Table2].[R/A2]" caption="R/A2" attribute="1" defaultMemberUniqueName="[Table2].[R/A2].[All]" allUniqueName="[Table2].[R/A2].[All]" dimensionUniqueName="[Table2]" displayFolder="" count="0" memberValueDatatype="5" unbalanced="0"/>
    <cacheHierarchy uniqueName="[Table2].[R/B2]" caption="R/B2" attribute="1" defaultMemberUniqueName="[Table2].[R/B2].[All]" allUniqueName="[Table2].[R/B2].[All]" dimensionUniqueName="[Table2]" displayFolder="" count="0" memberValueDatatype="5" unbalanced="0"/>
    <cacheHierarchy uniqueName="[Table2].[R/C2]" caption="R/C2" attribute="1" defaultMemberUniqueName="[Table2].[R/C2].[All]" allUniqueName="[Table2].[R/C2].[All]" dimensionUniqueName="[Table2]" displayFolder="" count="0" memberValueDatatype="5" unbalanced="0"/>
    <cacheHierarchy uniqueName="[Table2].[Total]" caption="Total" attribute="1" defaultMemberUniqueName="[Table2].[Total].[All]" allUniqueName="[Table2].[Total].[All]" dimensionUniqueName="[Table2]" displayFolder="" count="0" memberValueDatatype="5" unbalanced="0"/>
    <cacheHierarchy uniqueName="[Table2].[R/A3]" caption="R/A3" attribute="1" defaultMemberUniqueName="[Table2].[R/A3].[All]" allUniqueName="[Table2].[R/A3].[All]" dimensionUniqueName="[Table2]" displayFolder="" count="0" memberValueDatatype="5" unbalanced="0"/>
    <cacheHierarchy uniqueName="[Table2].[R/B3]" caption="R/B3" attribute="1" defaultMemberUniqueName="[Table2].[R/B3].[All]" allUniqueName="[Table2].[R/B3].[All]" dimensionUniqueName="[Table2]" displayFolder="" count="0" memberValueDatatype="5" unbalanced="0"/>
    <cacheHierarchy uniqueName="[Table2].[R/C3]" caption="R/C3" attribute="1" defaultMemberUniqueName="[Table2].[R/C3].[All]" allUniqueName="[Table2].[R/C3].[All]" dimensionUniqueName="[Table2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XL_Count Table2]" caption="__XL_Count Table2" measure="1" displayFolder="" measureGroup="Table2" count="0" hidden="1"/>
    <cacheHierarchy uniqueName="[Measures].[__XL_Count Table_ExternalData_1]" caption="__XL_Count Table_ExternalData_1" measure="1" displayFolder="" measureGroup="Table_ExternalData_1" count="0" hidden="1"/>
    <cacheHierarchy uniqueName="[Measures].[__XL_Count Range 1]" caption="__XL_Count Range 1" measure="1" displayFolder="" measureGroup="Range 1" count="0" hidden="1"/>
    <cacheHierarchy uniqueName="[Measures].[__No measures defined]" caption="__No measures defined" measure="1" displayFolder="" count="0" hidden="1"/>
    <cacheHierarchy uniqueName="[Measures].[Sum of M/C No]" caption="Sum of M/C No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Kg]" caption="Sum of Kg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R/A3]" caption="Sum of R/A3" measure="1" displayFolder="" measureGroup="Table2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R/B3]" caption="Sum of R/B3" measure="1" displayFolder="" measureGroup="Table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R/C3]" caption="Sum of R/C3" measure="1" displayFolder="" measureGroup="Table2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/A]" caption="Sum of R/A" measure="1" displayFolder="" measureGroup="Table2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R/B]" caption="Sum of R/B" measure="1" displayFolder="" measureGroup="Table2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R/C]" caption="Sum of R/C" measure="1" displayFolder="" measureGroup="Table2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R/A2]" caption="Sum of R/A2" measure="1" displayFolder="" measureGroup="Table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/B2]" caption="Sum of R/B2" measure="1" displayFolder="" measureGroup="Table2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R/C2]" caption="Sum of R/C2" measure="1" displayFolder="" measureGroup="Table2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Total]" caption="Sum of Total" measure="1" displayFolder="" measureGroup="Table2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[M/C No]]]" caption="Sum of [M/C No]" measure="1" displayFolder="" measureGroup="Table_ExternalData_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5">
    <dimension measure="1" name="Measures" uniqueName="[Measures]" caption="Measures"/>
    <dimension name="Range" uniqueName="[Range]" caption="Range"/>
    <dimension name="Range 1" uniqueName="[Range 1]" caption="Range 1"/>
    <dimension name="Table_ExternalData_1" uniqueName="[Table_ExternalData_1]" caption="Table_ExternalData_1"/>
    <dimension name="Table2" uniqueName="[Table2]" caption="Table2"/>
  </dimensions>
  <measureGroups count="4">
    <measureGroup name="Range" caption="Range"/>
    <measureGroup name="Range 1" caption="Range 1"/>
    <measureGroup name="Table_ExternalData_1" caption="Table_ExternalData_1"/>
    <measureGroup name="Table2" caption="Table2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"/>
    <n v="3271.73"/>
  </r>
  <r>
    <n v="2"/>
    <n v="2993.56"/>
  </r>
  <r>
    <n v="3"/>
    <n v="3190.09"/>
  </r>
  <r>
    <n v="4"/>
    <n v="2976.34"/>
  </r>
  <r>
    <n v="5"/>
    <n v="2494.2600000000002"/>
  </r>
  <r>
    <n v="6"/>
    <n v="2671.58"/>
  </r>
  <r>
    <n v="7"/>
    <n v="4078.12"/>
  </r>
  <r>
    <n v="8"/>
    <n v="2895.06"/>
  </r>
  <r>
    <n v="9"/>
    <n v="2399.16"/>
  </r>
  <r>
    <n v="10"/>
    <n v="3011.59"/>
  </r>
  <r>
    <n v="11"/>
    <n v="2882.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20C91-5036-4C8E-90D5-E9C9269BA5FC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4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um of M/C No" fld="0" baseField="0" baseItem="0"/>
    <dataField name="Sum of Kg" fld="1" baseField="0" baseItem="0"/>
  </dataField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heet1!$R$11:$S$22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AC1C41-1A10-4761-A0D2-134D7219C8DD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4" firstHeaderRow="0" firstDataRow="1" firstDataCol="0"/>
  <pivotFields count="2">
    <pivotField dataField="1" showAll="0"/>
    <pivotField dataField="1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um of M/C No" fld="0" baseField="0" baseItem="0"/>
    <dataField name="Sum of Kg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400A45BB-6192-4664-A10B-DB710476FA67}" autoFormatId="16" applyNumberFormats="0" applyBorderFormats="0" applyFontFormats="0" applyPatternFormats="0" applyAlignmentFormats="0" applyWidthHeightFormats="0">
  <queryTableRefresh nextId="3">
    <queryTableFields count="2">
      <queryTableField id="1" name="Range[M/C No]" tableColumnId="1"/>
      <queryTableField id="2" name="Range[Kg]" tableColumnId="2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4C1AB8-77BB-423A-AAA8-E1A0B5E0F480}" name="Table_ExternalData_1" displayName="Table_ExternalData_1" ref="A3:B14" tableType="queryTable" totalsRowShown="0">
  <autoFilter ref="A3:B14" xr:uid="{FE4C1AB8-77BB-423A-AAA8-E1A0B5E0F480}"/>
  <tableColumns count="2">
    <tableColumn id="1" xr3:uid="{0FBAC8A6-34E6-4651-A63E-E3B1BB90DC2D}" uniqueName="1" name="[M/C No]" queryTableFieldId="1"/>
    <tableColumn id="2" xr3:uid="{736B1E45-3525-4922-B047-DFFA22EF1B3D}" uniqueName="2" name="[Kg]" queryTableField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25B12F-06E2-465A-B9E8-B428B7C83D4E}" name="Table2" displayName="Table2" ref="A2:N131" totalsRowShown="0" headerRowDxfId="4">
  <autoFilter ref="A2:N131" xr:uid="{BA25B12F-06E2-465A-B9E8-B428B7C83D4E}"/>
  <tableColumns count="14">
    <tableColumn id="1" xr3:uid="{1DF49C02-33BD-4F1B-8A76-F569B3B57C1C}" name="Date" dataDxfId="3"/>
    <tableColumn id="2" xr3:uid="{6E3FBF61-49EB-4829-97F7-E654157423DB}" name="M/C No" dataDxfId="2"/>
    <tableColumn id="3" xr3:uid="{7EEC6954-1D8E-4405-A6F1-E149D711878B}" name="Quality-1" dataDxfId="1"/>
    <tableColumn id="4" xr3:uid="{AE359A38-40BA-41AA-AFF9-D9F6565CC440}" name="Quality-2" dataDxfId="0"/>
    <tableColumn id="5" xr3:uid="{77904B75-5BA7-4644-A75E-8C82339C3604}" name="R/A"/>
    <tableColumn id="6" xr3:uid="{94208359-4F78-46AF-88EC-436D07D218C6}" name="R/B"/>
    <tableColumn id="7" xr3:uid="{A4FB23E6-8D4E-4E9A-933A-4D6FABA5E499}" name="R/C"/>
    <tableColumn id="8" xr3:uid="{BC4399D1-A789-488E-9183-0BA25314A996}" name="R/A2"/>
    <tableColumn id="9" xr3:uid="{E05BBA9D-E53A-4316-89F2-B2F427906F91}" name="R/B2"/>
    <tableColumn id="10" xr3:uid="{E2C1E399-130D-4ECA-8437-24503B5D866D}" name="R/C2"/>
    <tableColumn id="11" xr3:uid="{4E20E87D-D2E7-4538-8C2A-9D5EB01ABAC9}" name="Total"/>
    <tableColumn id="12" xr3:uid="{F13A9C94-EF8C-4FC4-86E5-76BE92986C70}" name="R/A3"/>
    <tableColumn id="13" xr3:uid="{12B42B62-C1C7-497E-9EF1-99FB534E719C}" name="R/B3"/>
    <tableColumn id="14" xr3:uid="{570A5371-F568-4BD0-B307-9583C4AEA3CB}" name="R/C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32"/>
  <sheetViews>
    <sheetView tabSelected="1" zoomScaleNormal="100" workbookViewId="0">
      <selection activeCell="G24" sqref="G24"/>
    </sheetView>
  </sheetViews>
  <sheetFormatPr defaultRowHeight="14.4" x14ac:dyDescent="0.3"/>
  <cols>
    <col min="1" max="1" width="5.33203125" style="1" customWidth="1"/>
    <col min="2" max="2" width="3.88671875" style="1" customWidth="1"/>
    <col min="3" max="3" width="7" style="1" customWidth="1"/>
    <col min="4" max="4" width="9.6640625" style="1" customWidth="1"/>
    <col min="5" max="5" width="9.5546875" style="1" customWidth="1"/>
    <col min="6" max="7" width="8.88671875" style="1"/>
    <col min="8" max="8" width="11" style="1" customWidth="1"/>
    <col min="9" max="9" width="3" style="1" customWidth="1"/>
    <col min="10" max="11" width="8.88671875" style="1" hidden="1" customWidth="1"/>
    <col min="12" max="12" width="10.77734375" style="1" hidden="1" customWidth="1"/>
    <col min="13" max="13" width="8" style="1" hidden="1" customWidth="1"/>
    <col min="14" max="17" width="8.88671875" style="1" hidden="1" customWidth="1"/>
    <col min="18" max="18" width="9.5546875" style="1" hidden="1" customWidth="1"/>
    <col min="19" max="19" width="10" style="1" hidden="1" customWidth="1"/>
    <col min="20" max="20" width="9.5546875" style="1" hidden="1" customWidth="1"/>
    <col min="21" max="31" width="8.88671875" style="1" hidden="1" customWidth="1"/>
    <col min="32" max="33" width="8.88671875" style="1" customWidth="1"/>
    <col min="34" max="16384" width="8.88671875" style="1"/>
  </cols>
  <sheetData>
    <row r="2" spans="2:21" ht="15" thickBot="1" x14ac:dyDescent="0.35"/>
    <row r="3" spans="2:21" ht="18" x14ac:dyDescent="0.35">
      <c r="B3" s="35" t="s">
        <v>22</v>
      </c>
      <c r="C3" s="36"/>
      <c r="D3" s="36"/>
      <c r="E3" s="36"/>
      <c r="F3" s="36"/>
      <c r="G3" s="36"/>
      <c r="H3" s="24">
        <f ca="1">TODAY()-1</f>
        <v>45559</v>
      </c>
      <c r="I3" s="25"/>
    </row>
    <row r="4" spans="2:21" x14ac:dyDescent="0.3">
      <c r="B4" s="2"/>
      <c r="C4" s="3"/>
      <c r="D4" s="3"/>
      <c r="E4" s="3"/>
      <c r="F4" s="3"/>
      <c r="G4" s="3"/>
      <c r="H4" s="3"/>
      <c r="I4" s="4"/>
    </row>
    <row r="5" spans="2:21" x14ac:dyDescent="0.3">
      <c r="B5" s="2"/>
      <c r="C5" s="14" t="s">
        <v>0</v>
      </c>
      <c r="D5" s="15" t="s">
        <v>4</v>
      </c>
      <c r="E5" s="15" t="s">
        <v>5</v>
      </c>
      <c r="F5" s="16" t="s">
        <v>1</v>
      </c>
      <c r="G5" s="15" t="s">
        <v>2</v>
      </c>
      <c r="H5" s="15" t="s">
        <v>3</v>
      </c>
      <c r="I5" s="4"/>
      <c r="J5" s="1" t="s">
        <v>1</v>
      </c>
      <c r="K5" s="1" t="s">
        <v>2</v>
      </c>
      <c r="L5" s="1" t="s">
        <v>3</v>
      </c>
      <c r="M5" s="1" t="s">
        <v>23</v>
      </c>
      <c r="N5" s="1" t="s">
        <v>1</v>
      </c>
      <c r="O5" s="1" t="s">
        <v>2</v>
      </c>
      <c r="P5" s="1" t="s">
        <v>3</v>
      </c>
      <c r="R5" s="1" t="s">
        <v>7</v>
      </c>
    </row>
    <row r="6" spans="2:21" ht="15" thickBot="1" x14ac:dyDescent="0.35">
      <c r="B6" s="2"/>
      <c r="C6" s="13">
        <v>1</v>
      </c>
      <c r="D6" s="17" t="s">
        <v>11</v>
      </c>
      <c r="E6" s="17"/>
      <c r="F6" s="12"/>
      <c r="G6" s="10"/>
      <c r="H6" s="11"/>
      <c r="I6" s="4"/>
      <c r="J6" s="1">
        <f>((F6*170*0.45359)/(14400*0.9144))*20</f>
        <v>0</v>
      </c>
      <c r="K6" s="1">
        <f>((G6*170*0.45359)/(14400*0.9144))*20</f>
        <v>0</v>
      </c>
      <c r="L6" s="1">
        <f>((H6*170*0.45359)/(14400*0.9144))*20</f>
        <v>0</v>
      </c>
      <c r="M6" s="1">
        <f>SUM(J6,K6,L6)</f>
        <v>0</v>
      </c>
      <c r="N6" s="1">
        <f>((J6/2600.14))*100</f>
        <v>0</v>
      </c>
      <c r="O6" s="1">
        <f t="shared" ref="O6:P6" si="0">((K6/2600.14))*100</f>
        <v>0</v>
      </c>
      <c r="P6" s="1">
        <f t="shared" si="0"/>
        <v>0</v>
      </c>
      <c r="R6" s="1" t="s">
        <v>8</v>
      </c>
      <c r="U6" s="1">
        <f>((170*0.45359*22200)/(14400*0.9144))*20</f>
        <v>2600.1395268299793</v>
      </c>
    </row>
    <row r="7" spans="2:21" ht="15.6" thickTop="1" thickBot="1" x14ac:dyDescent="0.35">
      <c r="B7" s="2"/>
      <c r="C7" s="9">
        <v>2</v>
      </c>
      <c r="D7" s="18" t="s">
        <v>11</v>
      </c>
      <c r="E7" s="18"/>
      <c r="F7" s="8"/>
      <c r="G7" s="8"/>
      <c r="H7" s="8"/>
      <c r="I7" s="4"/>
      <c r="J7" s="1">
        <f t="shared" ref="J7:J16" si="1">((F7*170*0.45359)/(14400*0.9144))*20</f>
        <v>0</v>
      </c>
      <c r="K7" s="1">
        <f t="shared" ref="K7:K15" si="2">((G7*170*0.45359)/(14400*0.9144))*20</f>
        <v>0</v>
      </c>
      <c r="L7" s="1">
        <f t="shared" ref="L7:L16" si="3">((H7*170*0.45359)/(14400*0.9144))*20</f>
        <v>0</v>
      </c>
      <c r="M7" s="1">
        <f t="shared" ref="M7:M16" si="4">SUM(J7,K7,L7)</f>
        <v>0</v>
      </c>
      <c r="N7" s="1">
        <f t="shared" ref="N7:N16" si="5">((J7/2600.14))*100</f>
        <v>0</v>
      </c>
      <c r="O7" s="1">
        <f t="shared" ref="O7:O16" si="6">((K7/2600.14))*100</f>
        <v>0</v>
      </c>
      <c r="P7" s="1">
        <f t="shared" ref="P7:P16" si="7">((L7/2600.14))*100</f>
        <v>0</v>
      </c>
      <c r="R7" s="1" t="s">
        <v>9</v>
      </c>
    </row>
    <row r="8" spans="2:21" ht="15.6" thickTop="1" thickBot="1" x14ac:dyDescent="0.35">
      <c r="B8" s="2"/>
      <c r="C8" s="9">
        <v>3</v>
      </c>
      <c r="D8" s="18" t="s">
        <v>10</v>
      </c>
      <c r="E8" s="18"/>
      <c r="F8" s="8"/>
      <c r="G8" s="8"/>
      <c r="H8" s="8"/>
      <c r="I8" s="4"/>
      <c r="J8" s="1">
        <f t="shared" si="1"/>
        <v>0</v>
      </c>
      <c r="K8" s="1">
        <f t="shared" si="2"/>
        <v>0</v>
      </c>
      <c r="L8" s="1">
        <f t="shared" si="3"/>
        <v>0</v>
      </c>
      <c r="M8" s="1">
        <f t="shared" si="4"/>
        <v>0</v>
      </c>
      <c r="N8" s="1">
        <f t="shared" si="5"/>
        <v>0</v>
      </c>
      <c r="O8" s="1">
        <f t="shared" si="6"/>
        <v>0</v>
      </c>
      <c r="P8" s="1">
        <f t="shared" si="7"/>
        <v>0</v>
      </c>
      <c r="R8" s="1" t="s">
        <v>10</v>
      </c>
    </row>
    <row r="9" spans="2:21" ht="15.6" thickTop="1" thickBot="1" x14ac:dyDescent="0.35">
      <c r="B9" s="2"/>
      <c r="C9" s="9">
        <v>4</v>
      </c>
      <c r="D9" s="18" t="s">
        <v>10</v>
      </c>
      <c r="E9" s="18"/>
      <c r="F9" s="8"/>
      <c r="G9" s="8"/>
      <c r="H9" s="8"/>
      <c r="I9" s="4"/>
      <c r="J9" s="1">
        <f t="shared" si="1"/>
        <v>0</v>
      </c>
      <c r="K9" s="1">
        <f t="shared" si="2"/>
        <v>0</v>
      </c>
      <c r="L9" s="1">
        <f t="shared" si="3"/>
        <v>0</v>
      </c>
      <c r="M9" s="1">
        <f t="shared" si="4"/>
        <v>0</v>
      </c>
      <c r="N9" s="1">
        <f t="shared" si="5"/>
        <v>0</v>
      </c>
      <c r="O9" s="1">
        <f t="shared" si="6"/>
        <v>0</v>
      </c>
      <c r="P9" s="1">
        <f t="shared" si="7"/>
        <v>0</v>
      </c>
      <c r="R9" s="1" t="s">
        <v>11</v>
      </c>
    </row>
    <row r="10" spans="2:21" ht="15.6" thickTop="1" thickBot="1" x14ac:dyDescent="0.35">
      <c r="B10" s="2"/>
      <c r="C10" s="9">
        <v>5</v>
      </c>
      <c r="D10" s="18" t="s">
        <v>6</v>
      </c>
      <c r="E10" s="18"/>
      <c r="F10" s="8"/>
      <c r="G10" s="8"/>
      <c r="H10" s="8"/>
      <c r="I10" s="4"/>
      <c r="J10" s="1">
        <f t="shared" si="1"/>
        <v>0</v>
      </c>
      <c r="K10" s="1">
        <f t="shared" si="2"/>
        <v>0</v>
      </c>
      <c r="L10" s="1">
        <f t="shared" si="3"/>
        <v>0</v>
      </c>
      <c r="M10" s="1">
        <f t="shared" si="4"/>
        <v>0</v>
      </c>
      <c r="N10" s="1">
        <f t="shared" si="5"/>
        <v>0</v>
      </c>
      <c r="O10" s="1">
        <f t="shared" si="6"/>
        <v>0</v>
      </c>
      <c r="P10" s="1">
        <f t="shared" si="7"/>
        <v>0</v>
      </c>
      <c r="R10" s="1" t="s">
        <v>12</v>
      </c>
    </row>
    <row r="11" spans="2:21" ht="15.6" thickTop="1" thickBot="1" x14ac:dyDescent="0.35">
      <c r="B11" s="2"/>
      <c r="C11" s="9">
        <v>6</v>
      </c>
      <c r="D11" s="18" t="s">
        <v>26</v>
      </c>
      <c r="E11" s="18"/>
      <c r="F11" s="8"/>
      <c r="G11" s="8"/>
      <c r="H11" s="8"/>
      <c r="I11" s="4"/>
      <c r="J11" s="1">
        <f t="shared" si="1"/>
        <v>0</v>
      </c>
      <c r="K11" s="1">
        <f t="shared" si="2"/>
        <v>0</v>
      </c>
      <c r="L11" s="1">
        <f t="shared" si="3"/>
        <v>0</v>
      </c>
      <c r="M11" s="1">
        <f t="shared" si="4"/>
        <v>0</v>
      </c>
      <c r="N11" s="1">
        <f t="shared" si="5"/>
        <v>0</v>
      </c>
      <c r="O11" s="1">
        <f t="shared" si="6"/>
        <v>0</v>
      </c>
      <c r="P11" s="1">
        <f t="shared" si="7"/>
        <v>0</v>
      </c>
      <c r="R11" s="1" t="s">
        <v>13</v>
      </c>
    </row>
    <row r="12" spans="2:21" ht="15.6" thickTop="1" thickBot="1" x14ac:dyDescent="0.35">
      <c r="B12" s="2"/>
      <c r="C12" s="9">
        <v>7</v>
      </c>
      <c r="D12" s="18" t="s">
        <v>26</v>
      </c>
      <c r="E12" s="18"/>
      <c r="F12" s="8"/>
      <c r="G12" s="8"/>
      <c r="H12" s="8"/>
      <c r="I12" s="4"/>
      <c r="J12" s="1">
        <f t="shared" si="1"/>
        <v>0</v>
      </c>
      <c r="K12" s="1">
        <f t="shared" si="2"/>
        <v>0</v>
      </c>
      <c r="L12" s="1">
        <f t="shared" si="3"/>
        <v>0</v>
      </c>
      <c r="M12" s="1">
        <f t="shared" si="4"/>
        <v>0</v>
      </c>
      <c r="N12" s="1">
        <f t="shared" si="5"/>
        <v>0</v>
      </c>
      <c r="O12" s="1">
        <f t="shared" si="6"/>
        <v>0</v>
      </c>
      <c r="P12" s="1">
        <f t="shared" si="7"/>
        <v>0</v>
      </c>
      <c r="R12" s="1" t="s">
        <v>14</v>
      </c>
    </row>
    <row r="13" spans="2:21" ht="15.6" thickTop="1" thickBot="1" x14ac:dyDescent="0.35">
      <c r="B13" s="2"/>
      <c r="C13" s="9">
        <v>8</v>
      </c>
      <c r="D13" s="18" t="s">
        <v>26</v>
      </c>
      <c r="E13" s="18"/>
      <c r="F13" s="8"/>
      <c r="G13" s="8"/>
      <c r="H13" s="8"/>
      <c r="I13" s="4"/>
      <c r="J13" s="1">
        <f t="shared" si="1"/>
        <v>0</v>
      </c>
      <c r="K13" s="1">
        <f t="shared" si="2"/>
        <v>0</v>
      </c>
      <c r="L13" s="1">
        <f t="shared" si="3"/>
        <v>0</v>
      </c>
      <c r="M13" s="1">
        <f t="shared" si="4"/>
        <v>0</v>
      </c>
      <c r="N13" s="1">
        <f t="shared" si="5"/>
        <v>0</v>
      </c>
      <c r="O13" s="1">
        <f t="shared" si="6"/>
        <v>0</v>
      </c>
      <c r="P13" s="1">
        <f t="shared" si="7"/>
        <v>0</v>
      </c>
      <c r="R13" s="1" t="s">
        <v>6</v>
      </c>
    </row>
    <row r="14" spans="2:21" ht="15.6" thickTop="1" thickBot="1" x14ac:dyDescent="0.35">
      <c r="B14" s="2"/>
      <c r="C14" s="9">
        <v>9</v>
      </c>
      <c r="D14" s="18" t="s">
        <v>27</v>
      </c>
      <c r="E14" s="18"/>
      <c r="F14" s="8"/>
      <c r="G14" s="8"/>
      <c r="H14" s="8"/>
      <c r="I14" s="4"/>
      <c r="J14" s="1">
        <f t="shared" si="1"/>
        <v>0</v>
      </c>
      <c r="K14" s="1">
        <f t="shared" si="2"/>
        <v>0</v>
      </c>
      <c r="L14" s="1">
        <f t="shared" si="3"/>
        <v>0</v>
      </c>
      <c r="M14" s="1">
        <f t="shared" si="4"/>
        <v>0</v>
      </c>
      <c r="N14" s="1">
        <f t="shared" si="5"/>
        <v>0</v>
      </c>
      <c r="O14" s="1">
        <f t="shared" si="6"/>
        <v>0</v>
      </c>
      <c r="P14" s="1">
        <f t="shared" si="7"/>
        <v>0</v>
      </c>
      <c r="R14" s="1" t="s">
        <v>15</v>
      </c>
    </row>
    <row r="15" spans="2:21" ht="15.6" thickTop="1" thickBot="1" x14ac:dyDescent="0.35">
      <c r="B15" s="2"/>
      <c r="C15" s="9">
        <v>10</v>
      </c>
      <c r="D15" s="18" t="s">
        <v>27</v>
      </c>
      <c r="E15" s="18"/>
      <c r="F15" s="8"/>
      <c r="G15" s="8"/>
      <c r="H15" s="8"/>
      <c r="I15" s="4"/>
      <c r="J15" s="1">
        <f t="shared" si="1"/>
        <v>0</v>
      </c>
      <c r="K15" s="1">
        <f t="shared" si="2"/>
        <v>0</v>
      </c>
      <c r="L15" s="1">
        <f t="shared" si="3"/>
        <v>0</v>
      </c>
      <c r="M15" s="1">
        <f t="shared" si="4"/>
        <v>0</v>
      </c>
      <c r="N15" s="1">
        <f t="shared" si="5"/>
        <v>0</v>
      </c>
      <c r="O15" s="1">
        <f t="shared" si="6"/>
        <v>0</v>
      </c>
      <c r="P15" s="1">
        <f t="shared" si="7"/>
        <v>0</v>
      </c>
      <c r="R15" s="1" t="s">
        <v>16</v>
      </c>
    </row>
    <row r="16" spans="2:21" ht="15.6" thickTop="1" thickBot="1" x14ac:dyDescent="0.35">
      <c r="B16" s="2"/>
      <c r="C16" s="19">
        <v>11</v>
      </c>
      <c r="D16" s="20" t="s">
        <v>11</v>
      </c>
      <c r="E16" s="20"/>
      <c r="F16" s="21"/>
      <c r="G16" s="21"/>
      <c r="H16" s="21"/>
      <c r="I16" s="4"/>
      <c r="J16" s="1">
        <f t="shared" si="1"/>
        <v>0</v>
      </c>
      <c r="K16" s="1">
        <f>((G16*170*0.45359)/(14400*0.9144))*20</f>
        <v>0</v>
      </c>
      <c r="L16" s="1">
        <f t="shared" si="3"/>
        <v>0</v>
      </c>
      <c r="M16" s="1">
        <f t="shared" si="4"/>
        <v>0</v>
      </c>
      <c r="N16" s="1">
        <f t="shared" si="5"/>
        <v>0</v>
      </c>
      <c r="O16" s="1">
        <f t="shared" si="6"/>
        <v>0</v>
      </c>
      <c r="P16" s="1">
        <f t="shared" si="7"/>
        <v>0</v>
      </c>
      <c r="R16" s="1" t="s">
        <v>17</v>
      </c>
    </row>
    <row r="17" spans="2:31" ht="15.6" thickTop="1" thickBot="1" x14ac:dyDescent="0.35">
      <c r="B17" s="2"/>
      <c r="C17" s="22"/>
      <c r="D17" s="23"/>
      <c r="E17" s="23"/>
      <c r="F17" s="27">
        <f>SUM(F6:F16)</f>
        <v>0</v>
      </c>
      <c r="G17" s="27">
        <f t="shared" ref="G17:H17" si="8">SUM(G6:G16)</f>
        <v>0</v>
      </c>
      <c r="H17" s="27">
        <f t="shared" si="8"/>
        <v>0</v>
      </c>
      <c r="I17" s="4"/>
      <c r="J17" s="1">
        <f>SUM(J6:J16)</f>
        <v>0</v>
      </c>
      <c r="K17" s="1">
        <f t="shared" ref="K17:M17" si="9">SUM(K6:K16)</f>
        <v>0</v>
      </c>
      <c r="L17" s="1">
        <f t="shared" si="9"/>
        <v>0</v>
      </c>
      <c r="M17" s="1">
        <f t="shared" si="9"/>
        <v>0</v>
      </c>
      <c r="N17" s="1">
        <f>AVERAGE(N6:N16)</f>
        <v>0</v>
      </c>
      <c r="O17" s="1">
        <f t="shared" ref="O17:P17" si="10">AVERAGE(O6:O16)</f>
        <v>0</v>
      </c>
      <c r="P17" s="1">
        <f t="shared" si="10"/>
        <v>0</v>
      </c>
      <c r="R17" s="1" t="s">
        <v>26</v>
      </c>
    </row>
    <row r="18" spans="2:31" ht="15.6" thickTop="1" thickBot="1" x14ac:dyDescent="0.35">
      <c r="B18" s="5"/>
      <c r="C18" s="6"/>
      <c r="D18" s="6"/>
      <c r="E18" s="6"/>
      <c r="F18" s="6"/>
      <c r="G18" s="6"/>
      <c r="H18" s="6"/>
      <c r="I18" s="7"/>
      <c r="R18" s="1" t="s">
        <v>27</v>
      </c>
    </row>
    <row r="19" spans="2:31" x14ac:dyDescent="0.3">
      <c r="R19" s="1" t="s">
        <v>18</v>
      </c>
    </row>
    <row r="20" spans="2:31" x14ac:dyDescent="0.3">
      <c r="R20" s="1" t="s">
        <v>19</v>
      </c>
      <c r="S20" s="1" t="s">
        <v>0</v>
      </c>
      <c r="T20" s="29" t="s">
        <v>4</v>
      </c>
      <c r="U20" s="29" t="s">
        <v>5</v>
      </c>
      <c r="V20" s="29" t="s">
        <v>1</v>
      </c>
      <c r="W20" s="1" t="s">
        <v>2</v>
      </c>
      <c r="X20" s="1" t="s">
        <v>3</v>
      </c>
      <c r="Y20" s="1" t="s">
        <v>1</v>
      </c>
      <c r="Z20" s="1" t="s">
        <v>2</v>
      </c>
      <c r="AA20" s="1" t="s">
        <v>3</v>
      </c>
      <c r="AB20" s="1" t="s">
        <v>23</v>
      </c>
      <c r="AC20" s="1" t="s">
        <v>1</v>
      </c>
      <c r="AD20" s="1" t="s">
        <v>2</v>
      </c>
      <c r="AE20" s="1" t="s">
        <v>3</v>
      </c>
    </row>
    <row r="21" spans="2:31" ht="15.6" x14ac:dyDescent="0.3">
      <c r="R21" s="30">
        <f ca="1">H3</f>
        <v>45559</v>
      </c>
      <c r="S21" s="31">
        <f t="shared" ref="S21:X21" si="11">C6</f>
        <v>1</v>
      </c>
      <c r="T21" s="1" t="str">
        <f>D6</f>
        <v>8/1 lbs</v>
      </c>
      <c r="U21" s="1">
        <f t="shared" si="11"/>
        <v>0</v>
      </c>
      <c r="V21" s="1">
        <f t="shared" si="11"/>
        <v>0</v>
      </c>
      <c r="W21" s="1">
        <f t="shared" si="11"/>
        <v>0</v>
      </c>
      <c r="X21" s="1">
        <f t="shared" si="11"/>
        <v>0</v>
      </c>
      <c r="Y21" s="1">
        <f t="shared" ref="Y21:AE21" si="12">ROUND(J6,2)</f>
        <v>0</v>
      </c>
      <c r="Z21" s="1">
        <f t="shared" si="12"/>
        <v>0</v>
      </c>
      <c r="AA21" s="1">
        <f t="shared" si="12"/>
        <v>0</v>
      </c>
      <c r="AB21" s="1">
        <f t="shared" si="12"/>
        <v>0</v>
      </c>
      <c r="AC21" s="1">
        <f t="shared" si="12"/>
        <v>0</v>
      </c>
      <c r="AD21" s="1">
        <f t="shared" si="12"/>
        <v>0</v>
      </c>
      <c r="AE21" s="1">
        <f t="shared" si="12"/>
        <v>0</v>
      </c>
    </row>
    <row r="22" spans="2:31" ht="15.6" x14ac:dyDescent="0.3">
      <c r="R22" s="30">
        <f ca="1">H3</f>
        <v>45559</v>
      </c>
      <c r="S22" s="31">
        <f t="shared" ref="S22:S31" si="13">C7</f>
        <v>2</v>
      </c>
      <c r="T22" s="1" t="str">
        <f t="shared" ref="T22:T31" si="14">D7</f>
        <v>8/1 lbs</v>
      </c>
      <c r="U22" s="1">
        <f t="shared" ref="U22:U31" si="15">E7</f>
        <v>0</v>
      </c>
      <c r="V22" s="1">
        <f t="shared" ref="V22:V31" si="16">F7</f>
        <v>0</v>
      </c>
      <c r="W22" s="1">
        <f t="shared" ref="W22:W31" si="17">G7</f>
        <v>0</v>
      </c>
      <c r="X22" s="1">
        <f t="shared" ref="X22:X31" si="18">H7</f>
        <v>0</v>
      </c>
      <c r="Y22" s="1">
        <f t="shared" ref="Y22:AB22" si="19">ROUND(J7,2)</f>
        <v>0</v>
      </c>
      <c r="Z22" s="1">
        <f t="shared" si="19"/>
        <v>0</v>
      </c>
      <c r="AA22" s="1">
        <f t="shared" si="19"/>
        <v>0</v>
      </c>
      <c r="AB22" s="1">
        <f t="shared" si="19"/>
        <v>0</v>
      </c>
      <c r="AC22" s="1">
        <f t="shared" ref="AC22:AE22" si="20">ROUND(N7,2)</f>
        <v>0</v>
      </c>
      <c r="AD22" s="1">
        <f t="shared" si="20"/>
        <v>0</v>
      </c>
      <c r="AE22" s="1">
        <f t="shared" si="20"/>
        <v>0</v>
      </c>
    </row>
    <row r="23" spans="2:31" ht="15.6" x14ac:dyDescent="0.3">
      <c r="R23" s="30">
        <f ca="1">H3</f>
        <v>45559</v>
      </c>
      <c r="S23" s="31">
        <f t="shared" si="13"/>
        <v>3</v>
      </c>
      <c r="T23" s="1" t="str">
        <f t="shared" si="14"/>
        <v>7.7/1 lbs</v>
      </c>
      <c r="U23" s="1">
        <f t="shared" si="15"/>
        <v>0</v>
      </c>
      <c r="V23" s="1">
        <f t="shared" si="16"/>
        <v>0</v>
      </c>
      <c r="W23" s="1">
        <f t="shared" si="17"/>
        <v>0</v>
      </c>
      <c r="X23" s="1">
        <f t="shared" si="18"/>
        <v>0</v>
      </c>
      <c r="Y23" s="1">
        <f t="shared" ref="Y23:AB23" si="21">ROUND(J8,2)</f>
        <v>0</v>
      </c>
      <c r="Z23" s="1">
        <f t="shared" si="21"/>
        <v>0</v>
      </c>
      <c r="AA23" s="1">
        <f t="shared" si="21"/>
        <v>0</v>
      </c>
      <c r="AB23" s="1">
        <f t="shared" si="21"/>
        <v>0</v>
      </c>
      <c r="AC23" s="1">
        <f t="shared" ref="AC23:AE23" si="22">ROUND(N8,2)</f>
        <v>0</v>
      </c>
      <c r="AD23" s="1">
        <f t="shared" si="22"/>
        <v>0</v>
      </c>
      <c r="AE23" s="1">
        <f t="shared" si="22"/>
        <v>0</v>
      </c>
    </row>
    <row r="24" spans="2:31" ht="15.6" x14ac:dyDescent="0.3">
      <c r="R24" s="30">
        <f ca="1">H3</f>
        <v>45559</v>
      </c>
      <c r="S24" s="31">
        <f t="shared" si="13"/>
        <v>4</v>
      </c>
      <c r="T24" s="1" t="str">
        <f t="shared" si="14"/>
        <v>7.7/1 lbs</v>
      </c>
      <c r="U24" s="1">
        <f t="shared" si="15"/>
        <v>0</v>
      </c>
      <c r="V24" s="1">
        <f t="shared" si="16"/>
        <v>0</v>
      </c>
      <c r="W24" s="1">
        <f t="shared" si="17"/>
        <v>0</v>
      </c>
      <c r="X24" s="1">
        <f t="shared" si="18"/>
        <v>0</v>
      </c>
      <c r="Y24" s="1">
        <f t="shared" ref="Y24:AB24" si="23">ROUND(J9,2)</f>
        <v>0</v>
      </c>
      <c r="Z24" s="1">
        <f t="shared" si="23"/>
        <v>0</v>
      </c>
      <c r="AA24" s="1">
        <f t="shared" si="23"/>
        <v>0</v>
      </c>
      <c r="AB24" s="1">
        <f t="shared" si="23"/>
        <v>0</v>
      </c>
      <c r="AC24" s="1">
        <f t="shared" ref="AC24:AE24" si="24">ROUND(N9,2)</f>
        <v>0</v>
      </c>
      <c r="AD24" s="1">
        <f t="shared" si="24"/>
        <v>0</v>
      </c>
      <c r="AE24" s="1">
        <f t="shared" si="24"/>
        <v>0</v>
      </c>
    </row>
    <row r="25" spans="2:31" ht="15.6" x14ac:dyDescent="0.3">
      <c r="R25" s="30">
        <f ca="1">H3</f>
        <v>45559</v>
      </c>
      <c r="S25" s="31">
        <f t="shared" si="13"/>
        <v>5</v>
      </c>
      <c r="T25" s="1" t="str">
        <f t="shared" si="14"/>
        <v>10/1 lbs</v>
      </c>
      <c r="U25" s="1">
        <f t="shared" si="15"/>
        <v>0</v>
      </c>
      <c r="V25" s="1">
        <f t="shared" si="16"/>
        <v>0</v>
      </c>
      <c r="W25" s="1">
        <f t="shared" si="17"/>
        <v>0</v>
      </c>
      <c r="X25" s="1">
        <f t="shared" si="18"/>
        <v>0</v>
      </c>
      <c r="Y25" s="1">
        <f t="shared" ref="Y25:AB25" si="25">ROUND(J10,2)</f>
        <v>0</v>
      </c>
      <c r="Z25" s="1">
        <f t="shared" si="25"/>
        <v>0</v>
      </c>
      <c r="AA25" s="1">
        <f t="shared" si="25"/>
        <v>0</v>
      </c>
      <c r="AB25" s="1">
        <f t="shared" si="25"/>
        <v>0</v>
      </c>
      <c r="AC25" s="1">
        <f t="shared" ref="AC25:AE25" si="26">ROUND(N10,2)</f>
        <v>0</v>
      </c>
      <c r="AD25" s="1">
        <f t="shared" si="26"/>
        <v>0</v>
      </c>
      <c r="AE25" s="1">
        <f t="shared" si="26"/>
        <v>0</v>
      </c>
    </row>
    <row r="26" spans="2:31" ht="15.6" x14ac:dyDescent="0.3">
      <c r="R26" s="30">
        <f ca="1">H3</f>
        <v>45559</v>
      </c>
      <c r="S26" s="31">
        <f t="shared" si="13"/>
        <v>6</v>
      </c>
      <c r="T26" s="1" t="str">
        <f t="shared" si="14"/>
        <v>13/1 lbs</v>
      </c>
      <c r="U26" s="1">
        <f t="shared" si="15"/>
        <v>0</v>
      </c>
      <c r="V26" s="1">
        <f t="shared" si="16"/>
        <v>0</v>
      </c>
      <c r="W26" s="1">
        <f t="shared" si="17"/>
        <v>0</v>
      </c>
      <c r="X26" s="1">
        <f t="shared" si="18"/>
        <v>0</v>
      </c>
      <c r="Y26" s="1">
        <f t="shared" ref="Y26:AB26" si="27">ROUND(J11,2)</f>
        <v>0</v>
      </c>
      <c r="Z26" s="1">
        <f t="shared" si="27"/>
        <v>0</v>
      </c>
      <c r="AA26" s="1">
        <f t="shared" si="27"/>
        <v>0</v>
      </c>
      <c r="AB26" s="1">
        <f t="shared" si="27"/>
        <v>0</v>
      </c>
      <c r="AC26" s="1">
        <f t="shared" ref="AC26:AE26" si="28">ROUND(N11,2)</f>
        <v>0</v>
      </c>
      <c r="AD26" s="1">
        <f t="shared" si="28"/>
        <v>0</v>
      </c>
      <c r="AE26" s="1">
        <f t="shared" si="28"/>
        <v>0</v>
      </c>
    </row>
    <row r="27" spans="2:31" ht="15.6" x14ac:dyDescent="0.3">
      <c r="R27" s="30">
        <f ca="1">H3</f>
        <v>45559</v>
      </c>
      <c r="S27" s="31">
        <f t="shared" si="13"/>
        <v>7</v>
      </c>
      <c r="T27" s="1" t="str">
        <f t="shared" si="14"/>
        <v>13/1 lbs</v>
      </c>
      <c r="U27" s="1">
        <f t="shared" si="15"/>
        <v>0</v>
      </c>
      <c r="V27" s="1">
        <f t="shared" si="16"/>
        <v>0</v>
      </c>
      <c r="W27" s="1">
        <f t="shared" si="17"/>
        <v>0</v>
      </c>
      <c r="X27" s="1">
        <f t="shared" si="18"/>
        <v>0</v>
      </c>
      <c r="Y27" s="1">
        <f t="shared" ref="Y27:AB27" si="29">ROUND(J12,2)</f>
        <v>0</v>
      </c>
      <c r="Z27" s="1">
        <f t="shared" si="29"/>
        <v>0</v>
      </c>
      <c r="AA27" s="1">
        <f t="shared" si="29"/>
        <v>0</v>
      </c>
      <c r="AB27" s="1">
        <f t="shared" si="29"/>
        <v>0</v>
      </c>
      <c r="AC27" s="1">
        <f t="shared" ref="AC27:AE27" si="30">ROUND(N12,2)</f>
        <v>0</v>
      </c>
      <c r="AD27" s="1">
        <f t="shared" si="30"/>
        <v>0</v>
      </c>
      <c r="AE27" s="1">
        <f t="shared" si="30"/>
        <v>0</v>
      </c>
    </row>
    <row r="28" spans="2:31" ht="15.6" x14ac:dyDescent="0.3">
      <c r="R28" s="30">
        <f ca="1">H3</f>
        <v>45559</v>
      </c>
      <c r="S28" s="31">
        <f>C13</f>
        <v>8</v>
      </c>
      <c r="T28" s="1" t="str">
        <f t="shared" si="14"/>
        <v>13/1 lbs</v>
      </c>
      <c r="U28" s="1">
        <f t="shared" si="15"/>
        <v>0</v>
      </c>
      <c r="V28" s="1">
        <f t="shared" si="16"/>
        <v>0</v>
      </c>
      <c r="W28" s="1">
        <f t="shared" si="17"/>
        <v>0</v>
      </c>
      <c r="X28" s="1">
        <f t="shared" si="18"/>
        <v>0</v>
      </c>
      <c r="Y28" s="1">
        <f t="shared" ref="Y28:AB28" si="31">ROUND(J13,2)</f>
        <v>0</v>
      </c>
      <c r="Z28" s="1">
        <f t="shared" si="31"/>
        <v>0</v>
      </c>
      <c r="AA28" s="1">
        <f t="shared" si="31"/>
        <v>0</v>
      </c>
      <c r="AB28" s="1">
        <f t="shared" si="31"/>
        <v>0</v>
      </c>
      <c r="AC28" s="1">
        <f t="shared" ref="AC28:AE28" si="32">ROUND(N13,2)</f>
        <v>0</v>
      </c>
      <c r="AD28" s="1">
        <f t="shared" si="32"/>
        <v>0</v>
      </c>
      <c r="AE28" s="1">
        <f t="shared" si="32"/>
        <v>0</v>
      </c>
    </row>
    <row r="29" spans="2:31" ht="15.6" x14ac:dyDescent="0.3">
      <c r="R29" s="30">
        <f ca="1">H3</f>
        <v>45559</v>
      </c>
      <c r="S29" s="31">
        <f t="shared" si="13"/>
        <v>9</v>
      </c>
      <c r="T29" s="1" t="str">
        <f t="shared" si="14"/>
        <v>14/1 lbs</v>
      </c>
      <c r="U29" s="1">
        <f t="shared" si="15"/>
        <v>0</v>
      </c>
      <c r="V29" s="1">
        <f t="shared" si="16"/>
        <v>0</v>
      </c>
      <c r="W29" s="1">
        <f t="shared" si="17"/>
        <v>0</v>
      </c>
      <c r="X29" s="1">
        <f t="shared" si="18"/>
        <v>0</v>
      </c>
      <c r="Y29" s="1">
        <f t="shared" ref="Y29:AB29" si="33">ROUND(J14,2)</f>
        <v>0</v>
      </c>
      <c r="Z29" s="1">
        <f t="shared" si="33"/>
        <v>0</v>
      </c>
      <c r="AA29" s="1">
        <f t="shared" si="33"/>
        <v>0</v>
      </c>
      <c r="AB29" s="1">
        <f t="shared" si="33"/>
        <v>0</v>
      </c>
      <c r="AC29" s="1">
        <f t="shared" ref="AC29:AE29" si="34">ROUND(N14,2)</f>
        <v>0</v>
      </c>
      <c r="AD29" s="1">
        <f t="shared" si="34"/>
        <v>0</v>
      </c>
      <c r="AE29" s="1">
        <f t="shared" si="34"/>
        <v>0</v>
      </c>
    </row>
    <row r="30" spans="2:31" ht="15.6" x14ac:dyDescent="0.3">
      <c r="R30" s="30">
        <f ca="1">H3</f>
        <v>45559</v>
      </c>
      <c r="S30" s="31">
        <f t="shared" si="13"/>
        <v>10</v>
      </c>
      <c r="T30" s="1" t="str">
        <f t="shared" si="14"/>
        <v>14/1 lbs</v>
      </c>
      <c r="U30" s="1">
        <f t="shared" si="15"/>
        <v>0</v>
      </c>
      <c r="V30" s="1">
        <f t="shared" si="16"/>
        <v>0</v>
      </c>
      <c r="W30" s="1">
        <f t="shared" si="17"/>
        <v>0</v>
      </c>
      <c r="X30" s="1">
        <f t="shared" si="18"/>
        <v>0</v>
      </c>
      <c r="Y30" s="1">
        <f t="shared" ref="Y30:AB30" si="35">ROUND(J15,2)</f>
        <v>0</v>
      </c>
      <c r="Z30" s="1">
        <f t="shared" si="35"/>
        <v>0</v>
      </c>
      <c r="AA30" s="1">
        <f t="shared" si="35"/>
        <v>0</v>
      </c>
      <c r="AB30" s="1">
        <f t="shared" si="35"/>
        <v>0</v>
      </c>
      <c r="AC30" s="1">
        <f t="shared" ref="AC30:AE30" si="36">ROUND(N15,2)</f>
        <v>0</v>
      </c>
      <c r="AD30" s="1">
        <f t="shared" si="36"/>
        <v>0</v>
      </c>
      <c r="AE30" s="1">
        <f t="shared" si="36"/>
        <v>0</v>
      </c>
    </row>
    <row r="31" spans="2:31" ht="15.6" x14ac:dyDescent="0.3">
      <c r="R31" s="30">
        <f ca="1">H3</f>
        <v>45559</v>
      </c>
      <c r="S31" s="31">
        <f t="shared" si="13"/>
        <v>11</v>
      </c>
      <c r="T31" s="1" t="str">
        <f t="shared" si="14"/>
        <v>8/1 lbs</v>
      </c>
      <c r="U31" s="1">
        <f t="shared" si="15"/>
        <v>0</v>
      </c>
      <c r="V31" s="1">
        <f t="shared" si="16"/>
        <v>0</v>
      </c>
      <c r="W31" s="1">
        <f t="shared" si="17"/>
        <v>0</v>
      </c>
      <c r="X31" s="1">
        <f t="shared" si="18"/>
        <v>0</v>
      </c>
      <c r="Y31" s="1">
        <f t="shared" ref="Y31:AB31" si="37">ROUND(J16,2)</f>
        <v>0</v>
      </c>
      <c r="Z31" s="1">
        <f t="shared" si="37"/>
        <v>0</v>
      </c>
      <c r="AA31" s="1">
        <f t="shared" si="37"/>
        <v>0</v>
      </c>
      <c r="AB31" s="1">
        <f t="shared" si="37"/>
        <v>0</v>
      </c>
      <c r="AC31" s="1">
        <f t="shared" ref="AB31:AE32" si="38">ROUND(N16,2)</f>
        <v>0</v>
      </c>
      <c r="AD31" s="1">
        <f t="shared" si="38"/>
        <v>0</v>
      </c>
      <c r="AE31" s="1">
        <f t="shared" si="38"/>
        <v>0</v>
      </c>
    </row>
    <row r="32" spans="2:31" x14ac:dyDescent="0.3">
      <c r="R32" s="30">
        <f ca="1">H3</f>
        <v>45559</v>
      </c>
      <c r="S32" s="1" t="s">
        <v>23</v>
      </c>
      <c r="V32" s="1">
        <f>F17</f>
        <v>0</v>
      </c>
      <c r="W32" s="1">
        <f>G17</f>
        <v>0</v>
      </c>
      <c r="X32" s="1">
        <f>H17</f>
        <v>0</v>
      </c>
      <c r="Y32" s="1">
        <f t="shared" ref="Y32:AA32" si="39">ROUND(J17,2)</f>
        <v>0</v>
      </c>
      <c r="Z32" s="1">
        <f t="shared" si="39"/>
        <v>0</v>
      </c>
      <c r="AA32" s="1">
        <f t="shared" si="39"/>
        <v>0</v>
      </c>
      <c r="AB32" s="1">
        <f t="shared" si="38"/>
        <v>0</v>
      </c>
      <c r="AC32" s="1">
        <f t="shared" si="38"/>
        <v>0</v>
      </c>
      <c r="AD32" s="1">
        <f t="shared" si="38"/>
        <v>0</v>
      </c>
      <c r="AE32" s="1">
        <f t="shared" si="38"/>
        <v>0</v>
      </c>
    </row>
  </sheetData>
  <mergeCells count="1">
    <mergeCell ref="B3:G3"/>
  </mergeCells>
  <dataValidations count="3">
    <dataValidation type="list" allowBlank="1" showInputMessage="1" showErrorMessage="1" sqref="D7:D17 E15:E17 E6:E13" xr:uid="{193FD09D-95F4-482B-BD1B-C24EAD9CFCDC}">
      <formula1>$R$5:$R$18</formula1>
    </dataValidation>
    <dataValidation type="list" allowBlank="1" showInputMessage="1" showErrorMessage="1" sqref="D6" xr:uid="{8A6EC027-68C5-47A9-81BE-023629B517D8}">
      <formula1>$R$5:$R$19</formula1>
    </dataValidation>
    <dataValidation type="list" allowBlank="1" showInputMessage="1" showErrorMessage="1" sqref="E14" xr:uid="{8F2D8AB2-3697-442E-BE7D-A7D2D047F07B}">
      <formula1>$R$5:$R$16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utomi">
                <anchor moveWithCells="1" sizeWithCells="1">
                  <from>
                    <xdr:col>7</xdr:col>
                    <xdr:colOff>259080</xdr:colOff>
                    <xdr:row>17</xdr:row>
                    <xdr:rowOff>15240</xdr:rowOff>
                  </from>
                  <to>
                    <xdr:col>8</xdr:col>
                    <xdr:colOff>30480</xdr:colOff>
                    <xdr:row>17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E81B5-0BBD-4FCC-A738-9D1C1FC9A21E}">
  <sheetPr codeName="Sheet4"/>
  <dimension ref="A1:B14"/>
  <sheetViews>
    <sheetView workbookViewId="0">
      <selection activeCell="N3" sqref="N3"/>
    </sheetView>
  </sheetViews>
  <sheetFormatPr defaultRowHeight="14.4" x14ac:dyDescent="0.3"/>
  <cols>
    <col min="1" max="1" width="16.5546875" bestFit="1" customWidth="1"/>
    <col min="2" max="2" width="8" bestFit="1" customWidth="1"/>
  </cols>
  <sheetData>
    <row r="1" spans="1:2" x14ac:dyDescent="0.3">
      <c r="A1" s="28" t="s">
        <v>34</v>
      </c>
    </row>
    <row r="3" spans="1:2" x14ac:dyDescent="0.3">
      <c r="A3" t="s">
        <v>35</v>
      </c>
      <c r="B3" t="s">
        <v>36</v>
      </c>
    </row>
    <row r="4" spans="1:2" x14ac:dyDescent="0.3">
      <c r="A4">
        <v>1</v>
      </c>
      <c r="B4">
        <v>3271.73</v>
      </c>
    </row>
    <row r="5" spans="1:2" x14ac:dyDescent="0.3">
      <c r="A5">
        <v>2</v>
      </c>
      <c r="B5">
        <v>2993.56</v>
      </c>
    </row>
    <row r="6" spans="1:2" x14ac:dyDescent="0.3">
      <c r="A6">
        <v>3</v>
      </c>
      <c r="B6">
        <v>3190.09</v>
      </c>
    </row>
    <row r="7" spans="1:2" x14ac:dyDescent="0.3">
      <c r="A7">
        <v>4</v>
      </c>
      <c r="B7">
        <v>2976.34</v>
      </c>
    </row>
    <row r="8" spans="1:2" x14ac:dyDescent="0.3">
      <c r="A8">
        <v>5</v>
      </c>
      <c r="B8">
        <v>2494.2600000000002</v>
      </c>
    </row>
    <row r="9" spans="1:2" x14ac:dyDescent="0.3">
      <c r="A9">
        <v>6</v>
      </c>
      <c r="B9">
        <v>2671.58</v>
      </c>
    </row>
    <row r="10" spans="1:2" x14ac:dyDescent="0.3">
      <c r="A10">
        <v>7</v>
      </c>
      <c r="B10">
        <v>4078.12</v>
      </c>
    </row>
    <row r="11" spans="1:2" x14ac:dyDescent="0.3">
      <c r="A11">
        <v>8</v>
      </c>
      <c r="B11">
        <v>2895.06</v>
      </c>
    </row>
    <row r="12" spans="1:2" x14ac:dyDescent="0.3">
      <c r="A12">
        <v>9</v>
      </c>
      <c r="B12">
        <v>2399.16</v>
      </c>
    </row>
    <row r="13" spans="1:2" x14ac:dyDescent="0.3">
      <c r="A13">
        <v>10</v>
      </c>
      <c r="B13">
        <v>3011.59</v>
      </c>
    </row>
    <row r="14" spans="1:2" x14ac:dyDescent="0.3">
      <c r="A14">
        <v>11</v>
      </c>
      <c r="B14">
        <v>2882.99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342D6-35BD-46B9-97E6-1B178FC05995}">
  <sheetPr codeName="Sheet5"/>
  <dimension ref="A3:B4"/>
  <sheetViews>
    <sheetView workbookViewId="0">
      <selection activeCell="B4" sqref="B4"/>
    </sheetView>
  </sheetViews>
  <sheetFormatPr defaultRowHeight="14.4" x14ac:dyDescent="0.3"/>
  <cols>
    <col min="1" max="1" width="14.21875" bestFit="1" customWidth="1"/>
    <col min="2" max="2" width="9.5546875" bestFit="1" customWidth="1"/>
  </cols>
  <sheetData>
    <row r="3" spans="1:2" x14ac:dyDescent="0.3">
      <c r="A3" t="s">
        <v>32</v>
      </c>
      <c r="B3" t="s">
        <v>33</v>
      </c>
    </row>
    <row r="4" spans="1:2" x14ac:dyDescent="0.3">
      <c r="A4">
        <v>66</v>
      </c>
      <c r="B4">
        <v>32864.480000000003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E66B1-D8B2-4095-93CF-247B8453DBF5}">
  <sheetPr codeName="Sheet6"/>
  <dimension ref="A3:B4"/>
  <sheetViews>
    <sheetView workbookViewId="0">
      <selection activeCell="A3" sqref="A3"/>
    </sheetView>
  </sheetViews>
  <sheetFormatPr defaultRowHeight="14.4" x14ac:dyDescent="0.3"/>
  <cols>
    <col min="1" max="1" width="14.21875" bestFit="1" customWidth="1"/>
    <col min="2" max="2" width="9.5546875" bestFit="1" customWidth="1"/>
  </cols>
  <sheetData>
    <row r="3" spans="1:2" x14ac:dyDescent="0.3">
      <c r="A3" t="s">
        <v>32</v>
      </c>
      <c r="B3" t="s">
        <v>33</v>
      </c>
    </row>
    <row r="4" spans="1:2" x14ac:dyDescent="0.3">
      <c r="A4">
        <v>66</v>
      </c>
      <c r="B4">
        <v>32864.480000000003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8980D-7AE0-45F0-BF89-4C81AC2DC4B9}">
  <sheetPr codeName="Sheet2"/>
  <dimension ref="A1:N146"/>
  <sheetViews>
    <sheetView workbookViewId="0">
      <selection activeCell="F16" sqref="F16"/>
    </sheetView>
  </sheetViews>
  <sheetFormatPr defaultRowHeight="14.4" x14ac:dyDescent="0.3"/>
  <cols>
    <col min="1" max="1" width="9.5546875" style="26" bestFit="1" customWidth="1"/>
    <col min="2" max="2" width="9.5546875" customWidth="1"/>
    <col min="3" max="4" width="10.5546875" customWidth="1"/>
    <col min="5" max="5" width="10.5546875" bestFit="1" customWidth="1"/>
    <col min="6" max="7" width="11" bestFit="1" customWidth="1"/>
    <col min="8" max="8" width="9.21875" customWidth="1"/>
    <col min="9" max="9" width="8.6640625" customWidth="1"/>
    <col min="10" max="10" width="9.44140625" customWidth="1"/>
    <col min="11" max="11" width="10.21875" customWidth="1"/>
    <col min="12" max="12" width="10.77734375" customWidth="1"/>
    <col min="13" max="13" width="10" customWidth="1"/>
    <col min="14" max="14" width="9.77734375" customWidth="1"/>
  </cols>
  <sheetData>
    <row r="1" spans="1:14" x14ac:dyDescent="0.3">
      <c r="A1" s="33"/>
      <c r="B1" s="34"/>
      <c r="C1" s="34"/>
      <c r="D1" s="34"/>
      <c r="E1" s="37" t="s">
        <v>20</v>
      </c>
      <c r="F1" s="38"/>
      <c r="G1" s="38"/>
      <c r="H1" s="37" t="s">
        <v>21</v>
      </c>
      <c r="I1" s="38"/>
      <c r="J1" s="38"/>
      <c r="K1" s="38"/>
      <c r="L1" s="37" t="s">
        <v>37</v>
      </c>
      <c r="M1" s="38"/>
      <c r="N1" s="38"/>
    </row>
    <row r="2" spans="1:14" x14ac:dyDescent="0.3">
      <c r="A2" s="32" t="s">
        <v>19</v>
      </c>
      <c r="B2" s="28" t="s">
        <v>0</v>
      </c>
      <c r="C2" s="28" t="s">
        <v>4</v>
      </c>
      <c r="D2" s="28" t="s">
        <v>5</v>
      </c>
      <c r="E2" s="28" t="s">
        <v>1</v>
      </c>
      <c r="F2" s="28" t="s">
        <v>2</v>
      </c>
      <c r="G2" s="28" t="s">
        <v>3</v>
      </c>
      <c r="H2" s="28" t="s">
        <v>24</v>
      </c>
      <c r="I2" s="28" t="s">
        <v>28</v>
      </c>
      <c r="J2" s="28" t="s">
        <v>29</v>
      </c>
      <c r="K2" s="28" t="s">
        <v>23</v>
      </c>
      <c r="L2" s="28" t="s">
        <v>30</v>
      </c>
      <c r="M2" s="28" t="s">
        <v>25</v>
      </c>
      <c r="N2" s="28" t="s">
        <v>31</v>
      </c>
    </row>
    <row r="3" spans="1:14" x14ac:dyDescent="0.3">
      <c r="A3" s="26">
        <v>45559</v>
      </c>
      <c r="B3">
        <v>1</v>
      </c>
      <c r="C3" t="s">
        <v>11</v>
      </c>
      <c r="D3">
        <v>0</v>
      </c>
      <c r="E3">
        <v>8527</v>
      </c>
      <c r="F3">
        <v>11132</v>
      </c>
      <c r="G3">
        <v>10538</v>
      </c>
      <c r="H3">
        <v>998.71</v>
      </c>
      <c r="I3">
        <v>1303.82</v>
      </c>
      <c r="J3">
        <v>1234.25</v>
      </c>
      <c r="K3">
        <v>3536.78</v>
      </c>
      <c r="L3">
        <v>38.409999999999997</v>
      </c>
      <c r="M3">
        <v>50.14</v>
      </c>
      <c r="N3">
        <v>47.47</v>
      </c>
    </row>
    <row r="4" spans="1:14" x14ac:dyDescent="0.3">
      <c r="A4" s="26">
        <v>45559</v>
      </c>
      <c r="B4">
        <v>2</v>
      </c>
      <c r="C4" t="s">
        <v>11</v>
      </c>
      <c r="D4">
        <v>0</v>
      </c>
      <c r="E4">
        <v>7651</v>
      </c>
      <c r="F4">
        <v>10209</v>
      </c>
      <c r="G4">
        <v>10119</v>
      </c>
      <c r="H4">
        <v>896.11</v>
      </c>
      <c r="I4">
        <v>1195.71</v>
      </c>
      <c r="J4">
        <v>1185.17</v>
      </c>
      <c r="K4">
        <v>3277</v>
      </c>
      <c r="L4">
        <v>34.46</v>
      </c>
      <c r="M4">
        <v>45.99</v>
      </c>
      <c r="N4">
        <v>45.58</v>
      </c>
    </row>
    <row r="5" spans="1:14" x14ac:dyDescent="0.3">
      <c r="A5" s="26">
        <v>45559</v>
      </c>
      <c r="B5">
        <v>3</v>
      </c>
      <c r="C5" t="s">
        <v>10</v>
      </c>
      <c r="D5">
        <v>0</v>
      </c>
      <c r="E5">
        <v>8445</v>
      </c>
      <c r="F5">
        <v>8924</v>
      </c>
      <c r="G5">
        <v>9002</v>
      </c>
      <c r="H5">
        <v>989.11</v>
      </c>
      <c r="I5">
        <v>1045.21</v>
      </c>
      <c r="J5">
        <v>1054.3399999999999</v>
      </c>
      <c r="K5">
        <v>3088.66</v>
      </c>
      <c r="L5">
        <v>38.04</v>
      </c>
      <c r="M5">
        <v>40.200000000000003</v>
      </c>
      <c r="N5">
        <v>40.549999999999997</v>
      </c>
    </row>
    <row r="6" spans="1:14" x14ac:dyDescent="0.3">
      <c r="A6" s="26">
        <v>45559</v>
      </c>
      <c r="B6">
        <v>4</v>
      </c>
      <c r="C6" t="s">
        <v>10</v>
      </c>
      <c r="D6">
        <v>0</v>
      </c>
      <c r="E6">
        <v>8150</v>
      </c>
      <c r="F6">
        <v>7869</v>
      </c>
      <c r="G6">
        <v>8978</v>
      </c>
      <c r="H6">
        <v>954.56</v>
      </c>
      <c r="I6">
        <v>921.64</v>
      </c>
      <c r="J6">
        <v>1051.53</v>
      </c>
      <c r="K6">
        <v>2927.73</v>
      </c>
      <c r="L6">
        <v>36.71</v>
      </c>
      <c r="M6">
        <v>35.450000000000003</v>
      </c>
      <c r="N6">
        <v>40.44</v>
      </c>
    </row>
    <row r="7" spans="1:14" x14ac:dyDescent="0.3">
      <c r="A7" s="26">
        <v>45559</v>
      </c>
      <c r="B7">
        <v>5</v>
      </c>
      <c r="C7" t="s">
        <v>6</v>
      </c>
      <c r="D7">
        <v>0</v>
      </c>
      <c r="E7">
        <v>7753</v>
      </c>
      <c r="F7">
        <v>11021</v>
      </c>
      <c r="G7">
        <v>10324</v>
      </c>
      <c r="H7">
        <v>908.06</v>
      </c>
      <c r="I7">
        <v>1290.82</v>
      </c>
      <c r="J7">
        <v>1209.18</v>
      </c>
      <c r="K7">
        <v>3408.06</v>
      </c>
      <c r="L7">
        <v>34.92</v>
      </c>
      <c r="M7">
        <v>49.64</v>
      </c>
      <c r="N7">
        <v>46.5</v>
      </c>
    </row>
    <row r="8" spans="1:14" x14ac:dyDescent="0.3">
      <c r="A8" s="26">
        <v>45559</v>
      </c>
      <c r="B8">
        <v>6</v>
      </c>
      <c r="C8" t="s">
        <v>26</v>
      </c>
      <c r="D8">
        <v>0</v>
      </c>
      <c r="E8">
        <v>9397</v>
      </c>
      <c r="F8">
        <v>10629</v>
      </c>
      <c r="G8">
        <v>10722</v>
      </c>
      <c r="H8">
        <v>1100.6099999999999</v>
      </c>
      <c r="I8">
        <v>1244.9000000000001</v>
      </c>
      <c r="J8">
        <v>1255.8</v>
      </c>
      <c r="K8">
        <v>3601.31</v>
      </c>
      <c r="L8">
        <v>42.33</v>
      </c>
      <c r="M8">
        <v>47.88</v>
      </c>
      <c r="N8">
        <v>48.3</v>
      </c>
    </row>
    <row r="9" spans="1:14" x14ac:dyDescent="0.3">
      <c r="A9" s="26">
        <v>45559</v>
      </c>
      <c r="B9">
        <v>7</v>
      </c>
      <c r="C9" t="s">
        <v>26</v>
      </c>
      <c r="D9">
        <v>0</v>
      </c>
      <c r="E9">
        <v>12578</v>
      </c>
      <c r="F9">
        <v>9783</v>
      </c>
      <c r="G9">
        <v>8594</v>
      </c>
      <c r="H9">
        <v>1473.18</v>
      </c>
      <c r="I9">
        <v>1145.82</v>
      </c>
      <c r="J9">
        <v>1006.56</v>
      </c>
      <c r="K9">
        <v>3625.55</v>
      </c>
      <c r="L9">
        <v>56.66</v>
      </c>
      <c r="M9">
        <v>44.07</v>
      </c>
      <c r="N9">
        <v>38.71</v>
      </c>
    </row>
    <row r="10" spans="1:14" x14ac:dyDescent="0.3">
      <c r="A10" s="26">
        <v>45559</v>
      </c>
      <c r="B10">
        <v>8</v>
      </c>
      <c r="C10" t="s">
        <v>26</v>
      </c>
      <c r="D10">
        <v>0</v>
      </c>
      <c r="E10">
        <v>9818</v>
      </c>
      <c r="F10">
        <v>9301</v>
      </c>
      <c r="G10">
        <v>7982</v>
      </c>
      <c r="H10">
        <v>1149.92</v>
      </c>
      <c r="I10">
        <v>1089.3599999999999</v>
      </c>
      <c r="J10">
        <v>934.88</v>
      </c>
      <c r="K10">
        <v>3174.16</v>
      </c>
      <c r="L10">
        <v>44.23</v>
      </c>
      <c r="M10">
        <v>41.9</v>
      </c>
      <c r="N10">
        <v>35.950000000000003</v>
      </c>
    </row>
    <row r="11" spans="1:14" x14ac:dyDescent="0.3">
      <c r="A11" s="26">
        <v>45559</v>
      </c>
      <c r="B11">
        <v>9</v>
      </c>
      <c r="C11" t="s">
        <v>27</v>
      </c>
      <c r="D11">
        <v>0</v>
      </c>
      <c r="E11">
        <v>8084</v>
      </c>
      <c r="F11">
        <v>7070</v>
      </c>
      <c r="G11">
        <v>10114</v>
      </c>
      <c r="H11">
        <v>946.83</v>
      </c>
      <c r="I11">
        <v>828.06</v>
      </c>
      <c r="J11">
        <v>1184.5899999999999</v>
      </c>
      <c r="K11">
        <v>2959.47</v>
      </c>
      <c r="L11">
        <v>36.409999999999997</v>
      </c>
      <c r="M11">
        <v>31.85</v>
      </c>
      <c r="N11">
        <v>45.56</v>
      </c>
    </row>
    <row r="12" spans="1:14" x14ac:dyDescent="0.3">
      <c r="A12" s="26">
        <v>45559</v>
      </c>
      <c r="B12">
        <v>10</v>
      </c>
      <c r="C12" t="s">
        <v>27</v>
      </c>
      <c r="D12">
        <v>0</v>
      </c>
      <c r="E12">
        <v>7673</v>
      </c>
      <c r="F12">
        <v>7319</v>
      </c>
      <c r="G12">
        <v>8777</v>
      </c>
      <c r="H12">
        <v>898.69</v>
      </c>
      <c r="I12">
        <v>857.23</v>
      </c>
      <c r="J12">
        <v>1027.99</v>
      </c>
      <c r="K12">
        <v>2783.91</v>
      </c>
      <c r="L12">
        <v>34.56</v>
      </c>
      <c r="M12">
        <v>32.97</v>
      </c>
      <c r="N12">
        <v>39.54</v>
      </c>
    </row>
    <row r="13" spans="1:14" x14ac:dyDescent="0.3">
      <c r="A13" s="26">
        <v>45559</v>
      </c>
      <c r="B13">
        <v>11</v>
      </c>
      <c r="C13" t="s">
        <v>11</v>
      </c>
      <c r="D13">
        <v>0</v>
      </c>
      <c r="E13">
        <v>11358</v>
      </c>
      <c r="F13">
        <v>7365</v>
      </c>
      <c r="G13">
        <v>8925</v>
      </c>
      <c r="H13">
        <v>1330.29</v>
      </c>
      <c r="I13">
        <v>862.61</v>
      </c>
      <c r="J13">
        <v>1045.33</v>
      </c>
      <c r="K13">
        <v>3238.23</v>
      </c>
      <c r="L13">
        <v>51.16</v>
      </c>
      <c r="M13">
        <v>33.18</v>
      </c>
      <c r="N13">
        <v>40.200000000000003</v>
      </c>
    </row>
    <row r="14" spans="1:14" x14ac:dyDescent="0.3">
      <c r="A14" s="26">
        <v>45559</v>
      </c>
      <c r="B14" t="s">
        <v>23</v>
      </c>
      <c r="E14">
        <v>99434</v>
      </c>
      <c r="F14">
        <v>100622</v>
      </c>
      <c r="G14">
        <v>104075</v>
      </c>
      <c r="H14">
        <v>11646.05</v>
      </c>
      <c r="I14">
        <v>11785.19</v>
      </c>
      <c r="J14">
        <v>12189.62</v>
      </c>
      <c r="K14">
        <v>35620.86</v>
      </c>
      <c r="L14">
        <v>40.72</v>
      </c>
      <c r="M14">
        <v>41.2</v>
      </c>
      <c r="N14">
        <v>42.62</v>
      </c>
    </row>
    <row r="15" spans="1:14" x14ac:dyDescent="0.3">
      <c r="A15" s="26">
        <v>45558</v>
      </c>
      <c r="B15">
        <v>1</v>
      </c>
      <c r="C15" t="s">
        <v>11</v>
      </c>
      <c r="D15">
        <v>0</v>
      </c>
      <c r="E15">
        <v>9105</v>
      </c>
      <c r="F15">
        <v>8924</v>
      </c>
      <c r="G15">
        <v>9877</v>
      </c>
      <c r="H15">
        <v>1066.4100000000001</v>
      </c>
      <c r="I15">
        <v>1045.21</v>
      </c>
      <c r="J15">
        <v>1156.83</v>
      </c>
      <c r="K15">
        <v>3268.45</v>
      </c>
      <c r="L15">
        <v>41.01</v>
      </c>
      <c r="M15">
        <v>40.200000000000003</v>
      </c>
      <c r="N15">
        <v>44.49</v>
      </c>
    </row>
    <row r="16" spans="1:14" x14ac:dyDescent="0.3">
      <c r="A16" s="26">
        <v>45558</v>
      </c>
      <c r="B16">
        <v>2</v>
      </c>
      <c r="C16" t="s">
        <v>11</v>
      </c>
      <c r="D16">
        <v>0</v>
      </c>
      <c r="E16">
        <v>9630</v>
      </c>
      <c r="F16">
        <v>9722</v>
      </c>
      <c r="G16">
        <v>10345</v>
      </c>
      <c r="H16">
        <v>1127.9000000000001</v>
      </c>
      <c r="I16">
        <v>1138.67</v>
      </c>
      <c r="J16">
        <v>1211.6400000000001</v>
      </c>
      <c r="K16">
        <v>3478.21</v>
      </c>
      <c r="L16">
        <v>43.38</v>
      </c>
      <c r="M16">
        <v>43.79</v>
      </c>
      <c r="N16">
        <v>46.6</v>
      </c>
    </row>
    <row r="17" spans="1:14" x14ac:dyDescent="0.3">
      <c r="A17" s="26">
        <v>45558</v>
      </c>
      <c r="B17">
        <v>3</v>
      </c>
      <c r="C17" t="s">
        <v>11</v>
      </c>
      <c r="D17" t="s">
        <v>10</v>
      </c>
      <c r="E17">
        <v>7823</v>
      </c>
      <c r="F17">
        <v>8966</v>
      </c>
      <c r="G17">
        <v>9721</v>
      </c>
      <c r="H17">
        <v>916.26</v>
      </c>
      <c r="I17">
        <v>1050.1300000000001</v>
      </c>
      <c r="J17">
        <v>1138.56</v>
      </c>
      <c r="K17">
        <v>3104.94</v>
      </c>
      <c r="L17">
        <v>35.24</v>
      </c>
      <c r="M17">
        <v>40.39</v>
      </c>
      <c r="N17">
        <v>43.79</v>
      </c>
    </row>
    <row r="18" spans="1:14" x14ac:dyDescent="0.3">
      <c r="A18" s="26">
        <v>45558</v>
      </c>
      <c r="B18">
        <v>4</v>
      </c>
      <c r="C18" t="s">
        <v>10</v>
      </c>
      <c r="D18">
        <v>0</v>
      </c>
      <c r="E18">
        <v>9195</v>
      </c>
      <c r="F18">
        <v>9142</v>
      </c>
      <c r="G18">
        <v>9498</v>
      </c>
      <c r="H18">
        <v>1076.95</v>
      </c>
      <c r="I18">
        <v>1070.74</v>
      </c>
      <c r="J18">
        <v>1112.44</v>
      </c>
      <c r="K18">
        <v>3260.13</v>
      </c>
      <c r="L18">
        <v>41.42</v>
      </c>
      <c r="M18">
        <v>41.18</v>
      </c>
      <c r="N18">
        <v>42.78</v>
      </c>
    </row>
    <row r="19" spans="1:14" x14ac:dyDescent="0.3">
      <c r="A19" s="26">
        <v>45558</v>
      </c>
      <c r="B19">
        <v>5</v>
      </c>
      <c r="C19" t="s">
        <v>6</v>
      </c>
      <c r="D19">
        <v>0</v>
      </c>
      <c r="E19">
        <v>7614</v>
      </c>
      <c r="F19">
        <v>7889</v>
      </c>
      <c r="G19">
        <v>9648</v>
      </c>
      <c r="H19">
        <v>891.78</v>
      </c>
      <c r="I19">
        <v>923.99</v>
      </c>
      <c r="J19">
        <v>1130.01</v>
      </c>
      <c r="K19">
        <v>2945.77</v>
      </c>
      <c r="L19">
        <v>34.299999999999997</v>
      </c>
      <c r="M19">
        <v>35.54</v>
      </c>
      <c r="N19">
        <v>43.46</v>
      </c>
    </row>
    <row r="20" spans="1:14" x14ac:dyDescent="0.3">
      <c r="A20" s="26">
        <v>45558</v>
      </c>
      <c r="B20">
        <v>6</v>
      </c>
      <c r="C20" t="s">
        <v>6</v>
      </c>
      <c r="D20">
        <v>0</v>
      </c>
      <c r="E20">
        <v>10252</v>
      </c>
      <c r="F20">
        <v>9924</v>
      </c>
      <c r="G20">
        <v>10101</v>
      </c>
      <c r="H20">
        <v>1200.75</v>
      </c>
      <c r="I20">
        <v>1162.33</v>
      </c>
      <c r="J20">
        <v>1183.06</v>
      </c>
      <c r="K20">
        <v>3546.15</v>
      </c>
      <c r="L20">
        <v>46.18</v>
      </c>
      <c r="M20">
        <v>44.7</v>
      </c>
      <c r="N20">
        <v>45.5</v>
      </c>
    </row>
    <row r="21" spans="1:14" x14ac:dyDescent="0.3">
      <c r="A21" s="26">
        <v>45558</v>
      </c>
      <c r="B21">
        <v>7</v>
      </c>
      <c r="C21" t="s">
        <v>17</v>
      </c>
      <c r="D21">
        <v>0</v>
      </c>
      <c r="E21">
        <v>8715</v>
      </c>
      <c r="F21">
        <v>10132</v>
      </c>
      <c r="G21">
        <v>9414</v>
      </c>
      <c r="H21">
        <v>1020.73</v>
      </c>
      <c r="I21">
        <v>1186.69</v>
      </c>
      <c r="J21">
        <v>1102.5999999999999</v>
      </c>
      <c r="K21">
        <v>3310.02</v>
      </c>
      <c r="L21">
        <v>39.26</v>
      </c>
      <c r="M21">
        <v>45.64</v>
      </c>
      <c r="N21">
        <v>42.41</v>
      </c>
    </row>
    <row r="22" spans="1:14" x14ac:dyDescent="0.3">
      <c r="A22" s="26">
        <v>45558</v>
      </c>
      <c r="B22">
        <v>8</v>
      </c>
      <c r="C22" t="s">
        <v>17</v>
      </c>
      <c r="D22">
        <v>0</v>
      </c>
      <c r="E22">
        <v>6805</v>
      </c>
      <c r="F22">
        <v>7684</v>
      </c>
      <c r="G22">
        <v>11586</v>
      </c>
      <c r="H22">
        <v>797.02</v>
      </c>
      <c r="I22">
        <v>899.98</v>
      </c>
      <c r="J22">
        <v>1356.99</v>
      </c>
      <c r="K22">
        <v>3053.99</v>
      </c>
      <c r="L22">
        <v>30.65</v>
      </c>
      <c r="M22">
        <v>34.61</v>
      </c>
      <c r="N22">
        <v>52.19</v>
      </c>
    </row>
    <row r="23" spans="1:14" x14ac:dyDescent="0.3">
      <c r="A23" s="26">
        <v>45558</v>
      </c>
      <c r="B23">
        <v>9</v>
      </c>
      <c r="C23" t="s">
        <v>27</v>
      </c>
      <c r="D23">
        <v>0</v>
      </c>
      <c r="E23">
        <v>8700</v>
      </c>
      <c r="F23">
        <v>10223</v>
      </c>
      <c r="G23">
        <v>10986</v>
      </c>
      <c r="H23">
        <v>1018.97</v>
      </c>
      <c r="I23">
        <v>1197.3499999999999</v>
      </c>
      <c r="J23">
        <v>1286.72</v>
      </c>
      <c r="K23">
        <v>3503.04</v>
      </c>
      <c r="L23">
        <v>39.19</v>
      </c>
      <c r="M23">
        <v>46.05</v>
      </c>
      <c r="N23">
        <v>49.49</v>
      </c>
    </row>
    <row r="24" spans="1:14" x14ac:dyDescent="0.3">
      <c r="A24" s="26">
        <v>45558</v>
      </c>
      <c r="B24">
        <v>10</v>
      </c>
      <c r="C24" t="s">
        <v>27</v>
      </c>
      <c r="D24" t="s">
        <v>12</v>
      </c>
      <c r="E24">
        <v>9452</v>
      </c>
      <c r="F24">
        <v>10410</v>
      </c>
      <c r="G24">
        <v>7446</v>
      </c>
      <c r="H24">
        <v>1107.05</v>
      </c>
      <c r="I24">
        <v>1219.25</v>
      </c>
      <c r="J24">
        <v>872.1</v>
      </c>
      <c r="K24">
        <v>3198.41</v>
      </c>
      <c r="L24">
        <v>42.58</v>
      </c>
      <c r="M24">
        <v>46.89</v>
      </c>
      <c r="N24">
        <v>33.54</v>
      </c>
    </row>
    <row r="25" spans="1:14" x14ac:dyDescent="0.3">
      <c r="A25" s="26">
        <v>45558</v>
      </c>
      <c r="B25">
        <v>11</v>
      </c>
      <c r="C25" t="s">
        <v>12</v>
      </c>
      <c r="D25">
        <v>0</v>
      </c>
      <c r="E25">
        <v>9248</v>
      </c>
      <c r="F25">
        <v>7823</v>
      </c>
      <c r="G25">
        <v>9368</v>
      </c>
      <c r="H25">
        <v>1083.1600000000001</v>
      </c>
      <c r="I25">
        <v>916.26</v>
      </c>
      <c r="J25">
        <v>1097.21</v>
      </c>
      <c r="K25">
        <v>3096.63</v>
      </c>
      <c r="L25">
        <v>41.66</v>
      </c>
      <c r="M25">
        <v>35.24</v>
      </c>
      <c r="N25">
        <v>42.2</v>
      </c>
    </row>
    <row r="26" spans="1:14" x14ac:dyDescent="0.3">
      <c r="A26" s="26">
        <v>45558</v>
      </c>
      <c r="B26" t="s">
        <v>23</v>
      </c>
      <c r="E26">
        <v>96539</v>
      </c>
      <c r="F26">
        <v>100839</v>
      </c>
      <c r="G26">
        <v>107990</v>
      </c>
      <c r="H26">
        <v>11306.98</v>
      </c>
      <c r="I26">
        <v>11810.61</v>
      </c>
      <c r="J26">
        <v>12648.16</v>
      </c>
      <c r="K26">
        <v>35765.74</v>
      </c>
      <c r="L26">
        <v>39.53</v>
      </c>
      <c r="M26">
        <v>41.29</v>
      </c>
      <c r="N26">
        <v>44.22</v>
      </c>
    </row>
    <row r="27" spans="1:14" x14ac:dyDescent="0.3">
      <c r="A27" s="26">
        <v>45557</v>
      </c>
      <c r="B27">
        <v>1</v>
      </c>
      <c r="C27" t="s">
        <v>11</v>
      </c>
      <c r="D27">
        <v>0</v>
      </c>
      <c r="E27">
        <v>11600</v>
      </c>
      <c r="F27">
        <v>10230</v>
      </c>
      <c r="G27">
        <v>10120</v>
      </c>
      <c r="H27">
        <v>1358.63</v>
      </c>
      <c r="I27">
        <v>1198.17</v>
      </c>
      <c r="J27">
        <v>1185.29</v>
      </c>
      <c r="K27">
        <v>3742.09</v>
      </c>
      <c r="L27">
        <v>52.25</v>
      </c>
      <c r="M27">
        <v>46.08</v>
      </c>
      <c r="N27">
        <v>45.59</v>
      </c>
    </row>
    <row r="28" spans="1:14" x14ac:dyDescent="0.3">
      <c r="A28" s="26">
        <v>45557</v>
      </c>
      <c r="B28">
        <v>2</v>
      </c>
      <c r="C28" t="s">
        <v>11</v>
      </c>
      <c r="D28" t="s">
        <v>10</v>
      </c>
      <c r="E28">
        <v>10400</v>
      </c>
      <c r="F28">
        <v>10137</v>
      </c>
      <c r="G28">
        <v>8203</v>
      </c>
      <c r="H28">
        <v>1218.08</v>
      </c>
      <c r="I28">
        <v>1187.28</v>
      </c>
      <c r="J28">
        <v>960.76</v>
      </c>
      <c r="K28">
        <v>3366.13</v>
      </c>
      <c r="L28">
        <v>46.85</v>
      </c>
      <c r="M28">
        <v>45.66</v>
      </c>
      <c r="N28">
        <v>36.950000000000003</v>
      </c>
    </row>
    <row r="29" spans="1:14" x14ac:dyDescent="0.3">
      <c r="A29" s="26">
        <v>45557</v>
      </c>
      <c r="B29">
        <v>3</v>
      </c>
      <c r="C29" t="s">
        <v>10</v>
      </c>
      <c r="D29" t="s">
        <v>6</v>
      </c>
      <c r="E29">
        <v>8568</v>
      </c>
      <c r="F29">
        <v>10709</v>
      </c>
      <c r="G29">
        <v>9701</v>
      </c>
      <c r="H29">
        <v>1003.51</v>
      </c>
      <c r="I29">
        <v>1254.27</v>
      </c>
      <c r="J29">
        <v>1136.21</v>
      </c>
      <c r="K29">
        <v>3394</v>
      </c>
      <c r="L29">
        <v>38.590000000000003</v>
      </c>
      <c r="M29">
        <v>48.24</v>
      </c>
      <c r="N29">
        <v>43.7</v>
      </c>
    </row>
    <row r="30" spans="1:14" x14ac:dyDescent="0.3">
      <c r="A30" s="26">
        <v>45557</v>
      </c>
      <c r="B30">
        <v>4</v>
      </c>
      <c r="C30" t="s">
        <v>6</v>
      </c>
      <c r="D30">
        <v>0</v>
      </c>
      <c r="E30">
        <v>9805</v>
      </c>
      <c r="F30">
        <v>7588</v>
      </c>
      <c r="G30">
        <v>10807</v>
      </c>
      <c r="H30">
        <v>1148.3900000000001</v>
      </c>
      <c r="I30">
        <v>888.73</v>
      </c>
      <c r="J30">
        <v>1265.75</v>
      </c>
      <c r="K30">
        <v>3302.88</v>
      </c>
      <c r="L30">
        <v>44.17</v>
      </c>
      <c r="M30">
        <v>34.18</v>
      </c>
      <c r="N30">
        <v>48.68</v>
      </c>
    </row>
    <row r="31" spans="1:14" x14ac:dyDescent="0.3">
      <c r="A31" s="26">
        <v>45557</v>
      </c>
      <c r="B31">
        <v>5</v>
      </c>
      <c r="C31" t="s">
        <v>6</v>
      </c>
      <c r="D31">
        <v>0</v>
      </c>
      <c r="E31">
        <v>9872</v>
      </c>
      <c r="F31">
        <v>11914</v>
      </c>
      <c r="G31">
        <v>10119</v>
      </c>
      <c r="H31">
        <v>1156.24</v>
      </c>
      <c r="I31">
        <v>1395.41</v>
      </c>
      <c r="J31">
        <v>1185.17</v>
      </c>
      <c r="K31">
        <v>3736.82</v>
      </c>
      <c r="L31">
        <v>44.47</v>
      </c>
      <c r="M31">
        <v>53.67</v>
      </c>
      <c r="N31">
        <v>45.58</v>
      </c>
    </row>
    <row r="32" spans="1:14" x14ac:dyDescent="0.3">
      <c r="A32" s="26">
        <v>45557</v>
      </c>
      <c r="B32">
        <v>6</v>
      </c>
      <c r="C32" t="s">
        <v>6</v>
      </c>
      <c r="D32">
        <v>0</v>
      </c>
      <c r="E32">
        <v>11692</v>
      </c>
      <c r="F32">
        <v>9835</v>
      </c>
      <c r="G32">
        <v>10570</v>
      </c>
      <c r="H32">
        <v>1369.41</v>
      </c>
      <c r="I32">
        <v>1151.9100000000001</v>
      </c>
      <c r="J32">
        <v>1237.99</v>
      </c>
      <c r="K32">
        <v>3759.31</v>
      </c>
      <c r="L32">
        <v>52.67</v>
      </c>
      <c r="M32">
        <v>44.3</v>
      </c>
      <c r="N32">
        <v>47.61</v>
      </c>
    </row>
    <row r="33" spans="1:14" x14ac:dyDescent="0.3">
      <c r="A33" s="26">
        <v>45557</v>
      </c>
      <c r="B33">
        <v>7</v>
      </c>
      <c r="C33" t="s">
        <v>26</v>
      </c>
      <c r="D33">
        <v>0</v>
      </c>
      <c r="E33">
        <v>9574</v>
      </c>
      <c r="F33">
        <v>10111</v>
      </c>
      <c r="G33">
        <v>8111</v>
      </c>
      <c r="H33">
        <v>1121.3399999999999</v>
      </c>
      <c r="I33">
        <v>1184.23</v>
      </c>
      <c r="J33">
        <v>949.99</v>
      </c>
      <c r="K33">
        <v>3255.56</v>
      </c>
      <c r="L33">
        <v>43.13</v>
      </c>
      <c r="M33">
        <v>45.55</v>
      </c>
      <c r="N33">
        <v>36.54</v>
      </c>
    </row>
    <row r="34" spans="1:14" x14ac:dyDescent="0.3">
      <c r="A34" s="26">
        <v>45557</v>
      </c>
      <c r="B34">
        <v>8</v>
      </c>
      <c r="C34" t="s">
        <v>26</v>
      </c>
      <c r="D34">
        <v>0</v>
      </c>
      <c r="E34">
        <v>8895</v>
      </c>
      <c r="F34">
        <v>9782</v>
      </c>
      <c r="G34">
        <v>9201</v>
      </c>
      <c r="H34">
        <v>1041.81</v>
      </c>
      <c r="I34">
        <v>1145.7</v>
      </c>
      <c r="J34">
        <v>1077.6500000000001</v>
      </c>
      <c r="K34">
        <v>3265.17</v>
      </c>
      <c r="L34">
        <v>40.07</v>
      </c>
      <c r="M34">
        <v>44.06</v>
      </c>
      <c r="N34">
        <v>41.45</v>
      </c>
    </row>
    <row r="35" spans="1:14" x14ac:dyDescent="0.3">
      <c r="A35" s="26">
        <v>45557</v>
      </c>
      <c r="B35">
        <v>9</v>
      </c>
      <c r="C35" t="s">
        <v>27</v>
      </c>
      <c r="D35">
        <v>0</v>
      </c>
      <c r="E35">
        <v>10513</v>
      </c>
      <c r="F35">
        <v>10139</v>
      </c>
      <c r="G35">
        <v>9171</v>
      </c>
      <c r="H35">
        <v>1231.32</v>
      </c>
      <c r="I35">
        <v>1187.51</v>
      </c>
      <c r="J35">
        <v>1074.1400000000001</v>
      </c>
      <c r="K35">
        <v>3492.97</v>
      </c>
      <c r="L35">
        <v>47.36</v>
      </c>
      <c r="M35">
        <v>45.67</v>
      </c>
      <c r="N35">
        <v>41.31</v>
      </c>
    </row>
    <row r="36" spans="1:14" x14ac:dyDescent="0.3">
      <c r="A36" s="26">
        <v>45557</v>
      </c>
      <c r="B36">
        <v>10</v>
      </c>
      <c r="C36" t="s">
        <v>27</v>
      </c>
      <c r="D36" t="s">
        <v>12</v>
      </c>
      <c r="E36">
        <v>9188</v>
      </c>
      <c r="F36">
        <v>8824</v>
      </c>
      <c r="G36">
        <v>7507</v>
      </c>
      <c r="H36">
        <v>1076.1300000000001</v>
      </c>
      <c r="I36">
        <v>1033.5</v>
      </c>
      <c r="J36">
        <v>879.25</v>
      </c>
      <c r="K36">
        <v>2988.87</v>
      </c>
      <c r="L36">
        <v>41.39</v>
      </c>
      <c r="M36">
        <v>39.75</v>
      </c>
      <c r="N36">
        <v>33.82</v>
      </c>
    </row>
    <row r="37" spans="1:14" x14ac:dyDescent="0.3">
      <c r="A37" s="26">
        <v>45557</v>
      </c>
      <c r="B37">
        <v>11</v>
      </c>
      <c r="C37" t="s">
        <v>12</v>
      </c>
      <c r="D37">
        <v>0</v>
      </c>
      <c r="E37">
        <v>9166</v>
      </c>
      <c r="F37">
        <v>8605</v>
      </c>
      <c r="G37">
        <v>7709</v>
      </c>
      <c r="H37">
        <v>1073.55</v>
      </c>
      <c r="I37">
        <v>1007.85</v>
      </c>
      <c r="J37">
        <v>902.9</v>
      </c>
      <c r="K37">
        <v>2984.3</v>
      </c>
      <c r="L37">
        <v>41.29</v>
      </c>
      <c r="M37">
        <v>38.76</v>
      </c>
      <c r="N37">
        <v>34.729999999999997</v>
      </c>
    </row>
    <row r="38" spans="1:14" x14ac:dyDescent="0.3">
      <c r="A38" s="26">
        <v>45557</v>
      </c>
      <c r="B38" t="s">
        <v>23</v>
      </c>
      <c r="E38">
        <v>109273</v>
      </c>
      <c r="F38">
        <v>107874</v>
      </c>
      <c r="G38">
        <v>101219</v>
      </c>
      <c r="H38">
        <v>12798.43</v>
      </c>
      <c r="I38">
        <v>12634.57</v>
      </c>
      <c r="J38">
        <v>11855.11</v>
      </c>
      <c r="K38">
        <v>37288.11</v>
      </c>
      <c r="L38">
        <v>44.75</v>
      </c>
      <c r="M38">
        <v>44.17</v>
      </c>
      <c r="N38">
        <v>41.45</v>
      </c>
    </row>
    <row r="39" spans="1:14" x14ac:dyDescent="0.3">
      <c r="A39" s="26">
        <v>45556</v>
      </c>
      <c r="B39">
        <v>1</v>
      </c>
      <c r="C39" t="s">
        <v>11</v>
      </c>
      <c r="D39">
        <v>0</v>
      </c>
      <c r="E39">
        <v>7070</v>
      </c>
      <c r="F39">
        <v>11304</v>
      </c>
      <c r="G39">
        <v>11270</v>
      </c>
      <c r="H39">
        <v>828.06</v>
      </c>
      <c r="I39">
        <v>1323.96</v>
      </c>
      <c r="J39">
        <v>1319.98</v>
      </c>
      <c r="K39">
        <v>3472.01</v>
      </c>
      <c r="L39">
        <v>31.85</v>
      </c>
      <c r="M39">
        <v>50.92</v>
      </c>
      <c r="N39">
        <v>50.77</v>
      </c>
    </row>
    <row r="40" spans="1:14" x14ac:dyDescent="0.3">
      <c r="A40" s="26">
        <v>45556</v>
      </c>
      <c r="B40">
        <v>2</v>
      </c>
      <c r="C40" t="s">
        <v>11</v>
      </c>
      <c r="D40" t="s">
        <v>10</v>
      </c>
      <c r="E40">
        <v>5638</v>
      </c>
      <c r="F40">
        <v>9745</v>
      </c>
      <c r="G40">
        <v>10490</v>
      </c>
      <c r="H40">
        <v>660.34</v>
      </c>
      <c r="I40">
        <v>1141.3699999999999</v>
      </c>
      <c r="J40">
        <v>1228.6199999999999</v>
      </c>
      <c r="K40">
        <v>3030.33</v>
      </c>
      <c r="L40">
        <v>25.4</v>
      </c>
      <c r="M40">
        <v>43.9</v>
      </c>
      <c r="N40">
        <v>47.25</v>
      </c>
    </row>
    <row r="41" spans="1:14" x14ac:dyDescent="0.3">
      <c r="A41" s="26">
        <v>45556</v>
      </c>
      <c r="B41">
        <v>3</v>
      </c>
      <c r="C41" t="s">
        <v>10</v>
      </c>
      <c r="D41" t="s">
        <v>6</v>
      </c>
      <c r="E41">
        <v>4653</v>
      </c>
      <c r="F41">
        <v>9647</v>
      </c>
      <c r="G41">
        <v>10445</v>
      </c>
      <c r="H41">
        <v>544.98</v>
      </c>
      <c r="I41">
        <v>1129.8900000000001</v>
      </c>
      <c r="J41">
        <v>1223.3499999999999</v>
      </c>
      <c r="K41">
        <v>2898.22</v>
      </c>
      <c r="L41">
        <v>20.96</v>
      </c>
      <c r="M41">
        <v>43.45</v>
      </c>
      <c r="N41">
        <v>47.05</v>
      </c>
    </row>
    <row r="42" spans="1:14" x14ac:dyDescent="0.3">
      <c r="A42" s="26">
        <v>45556</v>
      </c>
      <c r="B42">
        <v>4</v>
      </c>
      <c r="C42" t="s">
        <v>6</v>
      </c>
      <c r="D42">
        <v>0</v>
      </c>
      <c r="E42">
        <v>5504</v>
      </c>
      <c r="F42">
        <v>10291</v>
      </c>
      <c r="G42">
        <v>10741</v>
      </c>
      <c r="H42">
        <v>644.65</v>
      </c>
      <c r="I42">
        <v>1205.32</v>
      </c>
      <c r="J42">
        <v>1258.02</v>
      </c>
      <c r="K42">
        <v>3107.99</v>
      </c>
      <c r="L42">
        <v>24.79</v>
      </c>
      <c r="M42">
        <v>46.36</v>
      </c>
      <c r="N42">
        <v>48.38</v>
      </c>
    </row>
    <row r="43" spans="1:14" x14ac:dyDescent="0.3">
      <c r="A43" s="26">
        <v>45556</v>
      </c>
      <c r="B43">
        <v>5</v>
      </c>
      <c r="C43" t="s">
        <v>6</v>
      </c>
      <c r="D43">
        <v>0</v>
      </c>
      <c r="E43">
        <v>4530</v>
      </c>
      <c r="F43">
        <v>12243</v>
      </c>
      <c r="G43">
        <v>9800</v>
      </c>
      <c r="H43">
        <v>530.57000000000005</v>
      </c>
      <c r="I43">
        <v>1433.94</v>
      </c>
      <c r="J43">
        <v>1147.81</v>
      </c>
      <c r="K43">
        <v>3112.32</v>
      </c>
      <c r="L43">
        <v>20.41</v>
      </c>
      <c r="M43">
        <v>55.15</v>
      </c>
      <c r="N43">
        <v>44.14</v>
      </c>
    </row>
    <row r="44" spans="1:14" x14ac:dyDescent="0.3">
      <c r="A44" s="26">
        <v>45556</v>
      </c>
      <c r="B44">
        <v>6</v>
      </c>
      <c r="C44" t="s">
        <v>6</v>
      </c>
      <c r="D44">
        <v>0</v>
      </c>
      <c r="E44">
        <v>5755</v>
      </c>
      <c r="F44">
        <v>6135</v>
      </c>
      <c r="G44">
        <v>9578</v>
      </c>
      <c r="H44">
        <v>674.05</v>
      </c>
      <c r="I44">
        <v>718.55</v>
      </c>
      <c r="J44">
        <v>1121.81</v>
      </c>
      <c r="K44">
        <v>2514.41</v>
      </c>
      <c r="L44">
        <v>25.92</v>
      </c>
      <c r="M44">
        <v>27.64</v>
      </c>
      <c r="N44">
        <v>43.14</v>
      </c>
    </row>
    <row r="45" spans="1:14" x14ac:dyDescent="0.3">
      <c r="A45" s="26">
        <v>45556</v>
      </c>
      <c r="B45">
        <v>7</v>
      </c>
      <c r="C45" t="s">
        <v>26</v>
      </c>
      <c r="D45">
        <v>0</v>
      </c>
      <c r="E45">
        <v>6942</v>
      </c>
      <c r="F45">
        <v>10932</v>
      </c>
      <c r="G45">
        <v>8546</v>
      </c>
      <c r="H45">
        <v>813.07</v>
      </c>
      <c r="I45">
        <v>1280.3900000000001</v>
      </c>
      <c r="J45">
        <v>1000.94</v>
      </c>
      <c r="K45">
        <v>3094.4</v>
      </c>
      <c r="L45">
        <v>31.27</v>
      </c>
      <c r="M45">
        <v>49.24</v>
      </c>
      <c r="N45">
        <v>38.5</v>
      </c>
    </row>
    <row r="46" spans="1:14" x14ac:dyDescent="0.3">
      <c r="A46" s="26">
        <v>45556</v>
      </c>
      <c r="B46">
        <v>8</v>
      </c>
      <c r="C46" t="s">
        <v>26</v>
      </c>
      <c r="D46">
        <v>0</v>
      </c>
      <c r="E46">
        <v>3334</v>
      </c>
      <c r="F46">
        <v>8939</v>
      </c>
      <c r="G46">
        <v>10862</v>
      </c>
      <c r="H46">
        <v>390.49</v>
      </c>
      <c r="I46">
        <v>1046.97</v>
      </c>
      <c r="J46">
        <v>1272.19</v>
      </c>
      <c r="K46">
        <v>2709.65</v>
      </c>
      <c r="L46">
        <v>15.02</v>
      </c>
      <c r="M46">
        <v>40.270000000000003</v>
      </c>
      <c r="N46">
        <v>48.93</v>
      </c>
    </row>
    <row r="47" spans="1:14" x14ac:dyDescent="0.3">
      <c r="A47" s="26">
        <v>45556</v>
      </c>
      <c r="B47">
        <v>9</v>
      </c>
      <c r="C47" t="s">
        <v>27</v>
      </c>
      <c r="D47">
        <v>0</v>
      </c>
      <c r="E47">
        <v>3493</v>
      </c>
      <c r="F47">
        <v>8722</v>
      </c>
      <c r="G47">
        <v>9900</v>
      </c>
      <c r="H47">
        <v>409.11</v>
      </c>
      <c r="I47">
        <v>1021.55</v>
      </c>
      <c r="J47">
        <v>1159.52</v>
      </c>
      <c r="K47">
        <v>2590.1799999999998</v>
      </c>
      <c r="L47">
        <v>15.73</v>
      </c>
      <c r="M47">
        <v>39.29</v>
      </c>
      <c r="N47">
        <v>44.59</v>
      </c>
    </row>
    <row r="48" spans="1:14" x14ac:dyDescent="0.3">
      <c r="A48" s="26">
        <v>45556</v>
      </c>
      <c r="B48">
        <v>10</v>
      </c>
      <c r="C48" t="s">
        <v>27</v>
      </c>
      <c r="D48" t="s">
        <v>12</v>
      </c>
      <c r="E48">
        <v>6387</v>
      </c>
      <c r="F48">
        <v>9493</v>
      </c>
      <c r="G48">
        <v>7018</v>
      </c>
      <c r="H48">
        <v>748.07</v>
      </c>
      <c r="I48">
        <v>1111.8499999999999</v>
      </c>
      <c r="J48">
        <v>821.97</v>
      </c>
      <c r="K48">
        <v>2681.89</v>
      </c>
      <c r="L48">
        <v>28.77</v>
      </c>
      <c r="M48">
        <v>42.76</v>
      </c>
      <c r="N48">
        <v>31.61</v>
      </c>
    </row>
    <row r="49" spans="1:14" x14ac:dyDescent="0.3">
      <c r="A49" s="26">
        <v>45556</v>
      </c>
      <c r="B49">
        <v>11</v>
      </c>
      <c r="C49" t="s">
        <v>12</v>
      </c>
      <c r="D49">
        <v>0</v>
      </c>
      <c r="E49">
        <v>4817</v>
      </c>
      <c r="F49">
        <v>7148</v>
      </c>
      <c r="G49">
        <v>5619</v>
      </c>
      <c r="H49">
        <v>564.17999999999995</v>
      </c>
      <c r="I49">
        <v>837.2</v>
      </c>
      <c r="J49">
        <v>658.12</v>
      </c>
      <c r="K49">
        <v>2059.5</v>
      </c>
      <c r="L49">
        <v>21.7</v>
      </c>
      <c r="M49">
        <v>32.200000000000003</v>
      </c>
      <c r="N49">
        <v>25.31</v>
      </c>
    </row>
    <row r="50" spans="1:14" x14ac:dyDescent="0.3">
      <c r="A50" s="26">
        <v>45556</v>
      </c>
      <c r="B50" t="s">
        <v>23</v>
      </c>
      <c r="E50">
        <v>58123</v>
      </c>
      <c r="F50">
        <v>104599</v>
      </c>
      <c r="G50">
        <v>104269</v>
      </c>
      <c r="H50">
        <v>6807.56</v>
      </c>
      <c r="I50">
        <v>12250.99</v>
      </c>
      <c r="J50">
        <v>12212.34</v>
      </c>
      <c r="K50">
        <v>31270.89</v>
      </c>
      <c r="L50">
        <v>23.8</v>
      </c>
      <c r="M50">
        <v>42.83</v>
      </c>
      <c r="N50">
        <v>42.7</v>
      </c>
    </row>
    <row r="51" spans="1:14" x14ac:dyDescent="0.3">
      <c r="A51" s="26">
        <v>45556</v>
      </c>
      <c r="B51">
        <v>1</v>
      </c>
      <c r="C51" t="s">
        <v>11</v>
      </c>
      <c r="D51">
        <v>0</v>
      </c>
      <c r="E51">
        <v>0</v>
      </c>
      <c r="F51">
        <v>0</v>
      </c>
      <c r="G51">
        <v>30510</v>
      </c>
      <c r="H51">
        <v>0</v>
      </c>
      <c r="I51">
        <v>0</v>
      </c>
      <c r="J51">
        <v>3573.43</v>
      </c>
      <c r="K51">
        <v>3573.43</v>
      </c>
      <c r="L51">
        <v>0</v>
      </c>
      <c r="M51">
        <v>0</v>
      </c>
      <c r="N51">
        <v>137.43</v>
      </c>
    </row>
    <row r="52" spans="1:14" x14ac:dyDescent="0.3">
      <c r="A52" s="26">
        <v>45556</v>
      </c>
      <c r="B52">
        <v>2</v>
      </c>
      <c r="C52" t="s">
        <v>11</v>
      </c>
      <c r="D52" t="s">
        <v>10</v>
      </c>
      <c r="E52">
        <v>0</v>
      </c>
      <c r="F52">
        <v>0</v>
      </c>
      <c r="G52">
        <v>29259</v>
      </c>
      <c r="H52">
        <v>0</v>
      </c>
      <c r="I52">
        <v>0</v>
      </c>
      <c r="J52">
        <v>3426.91</v>
      </c>
      <c r="K52">
        <v>3426.91</v>
      </c>
      <c r="L52">
        <v>0</v>
      </c>
      <c r="M52">
        <v>0</v>
      </c>
      <c r="N52">
        <v>131.80000000000001</v>
      </c>
    </row>
    <row r="53" spans="1:14" x14ac:dyDescent="0.3">
      <c r="A53" s="26">
        <v>45556</v>
      </c>
      <c r="B53">
        <v>3</v>
      </c>
      <c r="C53" t="s">
        <v>10</v>
      </c>
      <c r="D53" t="s">
        <v>6</v>
      </c>
      <c r="E53">
        <v>0</v>
      </c>
      <c r="F53">
        <v>0</v>
      </c>
      <c r="G53">
        <v>28486</v>
      </c>
      <c r="H53">
        <v>0</v>
      </c>
      <c r="I53">
        <v>0</v>
      </c>
      <c r="J53">
        <v>3336.38</v>
      </c>
      <c r="K53">
        <v>3336.38</v>
      </c>
      <c r="L53">
        <v>0</v>
      </c>
      <c r="M53">
        <v>0</v>
      </c>
      <c r="N53">
        <v>128.32</v>
      </c>
    </row>
    <row r="54" spans="1:14" x14ac:dyDescent="0.3">
      <c r="A54" s="26">
        <v>45556</v>
      </c>
      <c r="B54">
        <v>4</v>
      </c>
      <c r="C54" t="s">
        <v>6</v>
      </c>
      <c r="D54">
        <v>0</v>
      </c>
      <c r="E54">
        <v>0</v>
      </c>
      <c r="F54">
        <v>0</v>
      </c>
      <c r="G54">
        <v>31321</v>
      </c>
      <c r="H54">
        <v>0</v>
      </c>
      <c r="I54">
        <v>0</v>
      </c>
      <c r="J54">
        <v>3668.42</v>
      </c>
      <c r="K54">
        <v>3668.42</v>
      </c>
      <c r="L54">
        <v>0</v>
      </c>
      <c r="M54">
        <v>0</v>
      </c>
      <c r="N54">
        <v>141.09</v>
      </c>
    </row>
    <row r="55" spans="1:14" x14ac:dyDescent="0.3">
      <c r="A55" s="26">
        <v>45556</v>
      </c>
      <c r="B55">
        <v>5</v>
      </c>
      <c r="C55" t="s">
        <v>6</v>
      </c>
      <c r="D55">
        <v>0</v>
      </c>
      <c r="E55">
        <v>0</v>
      </c>
      <c r="F55">
        <v>0</v>
      </c>
      <c r="G55">
        <v>34377</v>
      </c>
      <c r="H55">
        <v>0</v>
      </c>
      <c r="I55">
        <v>0</v>
      </c>
      <c r="J55">
        <v>4026.35</v>
      </c>
      <c r="K55">
        <v>4026.35</v>
      </c>
      <c r="L55">
        <v>0</v>
      </c>
      <c r="M55">
        <v>0</v>
      </c>
      <c r="N55">
        <v>154.85</v>
      </c>
    </row>
    <row r="56" spans="1:14" x14ac:dyDescent="0.3">
      <c r="A56" s="26">
        <v>45556</v>
      </c>
      <c r="B56">
        <v>6</v>
      </c>
      <c r="C56" t="s">
        <v>6</v>
      </c>
      <c r="D56">
        <v>0</v>
      </c>
      <c r="E56">
        <v>0</v>
      </c>
      <c r="F56">
        <v>0</v>
      </c>
      <c r="G56">
        <v>32311</v>
      </c>
      <c r="H56">
        <v>0</v>
      </c>
      <c r="I56">
        <v>0</v>
      </c>
      <c r="J56">
        <v>3784.37</v>
      </c>
      <c r="K56">
        <v>3784.37</v>
      </c>
      <c r="L56">
        <v>0</v>
      </c>
      <c r="M56">
        <v>0</v>
      </c>
      <c r="N56">
        <v>145.55000000000001</v>
      </c>
    </row>
    <row r="57" spans="1:14" x14ac:dyDescent="0.3">
      <c r="A57" s="26">
        <v>45556</v>
      </c>
      <c r="B57">
        <v>7</v>
      </c>
      <c r="C57" t="s">
        <v>26</v>
      </c>
      <c r="D57">
        <v>0</v>
      </c>
      <c r="E57">
        <v>0</v>
      </c>
      <c r="F57">
        <v>0</v>
      </c>
      <c r="G57">
        <v>33016</v>
      </c>
      <c r="H57">
        <v>0</v>
      </c>
      <c r="I57">
        <v>0</v>
      </c>
      <c r="J57">
        <v>3866.95</v>
      </c>
      <c r="K57">
        <v>3866.95</v>
      </c>
      <c r="L57">
        <v>0</v>
      </c>
      <c r="M57">
        <v>0</v>
      </c>
      <c r="N57">
        <v>148.72</v>
      </c>
    </row>
    <row r="58" spans="1:14" x14ac:dyDescent="0.3">
      <c r="A58" s="26">
        <v>45556</v>
      </c>
      <c r="B58">
        <v>8</v>
      </c>
      <c r="C58" t="s">
        <v>26</v>
      </c>
      <c r="D58" t="s">
        <v>6</v>
      </c>
      <c r="E58">
        <v>0</v>
      </c>
      <c r="F58">
        <v>0</v>
      </c>
      <c r="G58">
        <v>20755</v>
      </c>
      <c r="H58">
        <v>0</v>
      </c>
      <c r="I58">
        <v>0</v>
      </c>
      <c r="J58">
        <v>2430.9</v>
      </c>
      <c r="K58">
        <v>2430.9</v>
      </c>
      <c r="L58">
        <v>0</v>
      </c>
      <c r="M58">
        <v>0</v>
      </c>
      <c r="N58">
        <v>93.49</v>
      </c>
    </row>
    <row r="59" spans="1:14" x14ac:dyDescent="0.3">
      <c r="A59" s="26">
        <v>45556</v>
      </c>
      <c r="B59">
        <v>9</v>
      </c>
      <c r="C59" t="s">
        <v>6</v>
      </c>
      <c r="D59">
        <v>0</v>
      </c>
      <c r="E59">
        <v>0</v>
      </c>
      <c r="F59">
        <v>0</v>
      </c>
      <c r="G59">
        <v>25828</v>
      </c>
      <c r="H59">
        <v>0</v>
      </c>
      <c r="I59">
        <v>0</v>
      </c>
      <c r="J59">
        <v>3025.06</v>
      </c>
      <c r="K59">
        <v>3025.06</v>
      </c>
      <c r="L59">
        <v>0</v>
      </c>
      <c r="M59">
        <v>0</v>
      </c>
      <c r="N59">
        <v>116.34</v>
      </c>
    </row>
    <row r="60" spans="1:14" x14ac:dyDescent="0.3">
      <c r="A60" s="26">
        <v>45556</v>
      </c>
      <c r="B60">
        <v>10</v>
      </c>
      <c r="C60" t="s">
        <v>6</v>
      </c>
      <c r="D60">
        <v>0</v>
      </c>
      <c r="E60">
        <v>0</v>
      </c>
      <c r="F60">
        <v>0</v>
      </c>
      <c r="G60">
        <v>19685</v>
      </c>
      <c r="H60">
        <v>0</v>
      </c>
      <c r="I60">
        <v>0</v>
      </c>
      <c r="J60">
        <v>2305.5700000000002</v>
      </c>
      <c r="K60">
        <v>2305.5700000000002</v>
      </c>
      <c r="L60">
        <v>0</v>
      </c>
      <c r="M60">
        <v>0</v>
      </c>
      <c r="N60">
        <v>88.67</v>
      </c>
    </row>
    <row r="61" spans="1:14" x14ac:dyDescent="0.3">
      <c r="A61" s="26">
        <v>45556</v>
      </c>
      <c r="B61">
        <v>11</v>
      </c>
      <c r="C61" t="s">
        <v>14</v>
      </c>
      <c r="D61" t="s">
        <v>8</v>
      </c>
      <c r="E61">
        <v>0</v>
      </c>
      <c r="F61">
        <v>0</v>
      </c>
      <c r="G61">
        <v>28820</v>
      </c>
      <c r="H61">
        <v>0</v>
      </c>
      <c r="I61">
        <v>0</v>
      </c>
      <c r="J61">
        <v>3375.5</v>
      </c>
      <c r="K61">
        <v>3375.5</v>
      </c>
      <c r="L61">
        <v>0</v>
      </c>
      <c r="M61">
        <v>0</v>
      </c>
      <c r="N61">
        <v>129.82</v>
      </c>
    </row>
    <row r="62" spans="1:14" x14ac:dyDescent="0.3">
      <c r="A62" s="26">
        <v>45556</v>
      </c>
      <c r="B62" t="s">
        <v>23</v>
      </c>
      <c r="E62">
        <v>0</v>
      </c>
      <c r="F62">
        <v>0</v>
      </c>
      <c r="G62">
        <v>314368</v>
      </c>
      <c r="H62">
        <v>0</v>
      </c>
      <c r="I62">
        <v>0</v>
      </c>
      <c r="J62">
        <v>36819.85</v>
      </c>
      <c r="K62">
        <v>36819.85</v>
      </c>
      <c r="L62">
        <v>0</v>
      </c>
      <c r="M62">
        <v>0</v>
      </c>
      <c r="N62">
        <v>128.72999999999999</v>
      </c>
    </row>
    <row r="63" spans="1:14" x14ac:dyDescent="0.3">
      <c r="A63" s="26">
        <v>45554</v>
      </c>
      <c r="B63">
        <v>1</v>
      </c>
      <c r="C63" t="s">
        <v>11</v>
      </c>
      <c r="D63">
        <v>0</v>
      </c>
      <c r="E63">
        <v>8264</v>
      </c>
      <c r="F63">
        <v>9093</v>
      </c>
      <c r="G63">
        <v>10301</v>
      </c>
      <c r="H63">
        <v>967.91</v>
      </c>
      <c r="I63">
        <v>1065</v>
      </c>
      <c r="J63">
        <v>1206.49</v>
      </c>
      <c r="K63">
        <v>3239.4</v>
      </c>
      <c r="L63">
        <v>37.229999999999997</v>
      </c>
      <c r="M63">
        <v>40.96</v>
      </c>
      <c r="N63">
        <v>46.4</v>
      </c>
    </row>
    <row r="64" spans="1:14" x14ac:dyDescent="0.3">
      <c r="A64" s="26">
        <v>45554</v>
      </c>
      <c r="B64">
        <v>2</v>
      </c>
      <c r="C64" t="s">
        <v>10</v>
      </c>
      <c r="D64" t="s">
        <v>11</v>
      </c>
      <c r="E64">
        <v>9502</v>
      </c>
      <c r="F64">
        <v>8318</v>
      </c>
      <c r="G64">
        <v>8215</v>
      </c>
      <c r="H64">
        <v>1112.9100000000001</v>
      </c>
      <c r="I64">
        <v>974.23</v>
      </c>
      <c r="J64">
        <v>962.17</v>
      </c>
      <c r="K64">
        <v>3049.31</v>
      </c>
      <c r="L64">
        <v>42.8</v>
      </c>
      <c r="M64">
        <v>37.47</v>
      </c>
      <c r="N64">
        <v>37</v>
      </c>
    </row>
    <row r="65" spans="1:14" x14ac:dyDescent="0.3">
      <c r="A65" s="26">
        <v>45554</v>
      </c>
      <c r="B65">
        <v>3</v>
      </c>
      <c r="C65" t="s">
        <v>10</v>
      </c>
      <c r="D65" t="s">
        <v>6</v>
      </c>
      <c r="E65">
        <v>9134</v>
      </c>
      <c r="F65">
        <v>8764</v>
      </c>
      <c r="G65">
        <v>7283</v>
      </c>
      <c r="H65">
        <v>1069.81</v>
      </c>
      <c r="I65">
        <v>1026.47</v>
      </c>
      <c r="J65">
        <v>853.01</v>
      </c>
      <c r="K65">
        <v>2949.28</v>
      </c>
      <c r="L65">
        <v>41.14</v>
      </c>
      <c r="M65">
        <v>39.479999999999997</v>
      </c>
      <c r="N65">
        <v>32.81</v>
      </c>
    </row>
    <row r="66" spans="1:14" x14ac:dyDescent="0.3">
      <c r="A66" s="26">
        <v>45554</v>
      </c>
      <c r="B66">
        <v>4</v>
      </c>
      <c r="C66" t="s">
        <v>6</v>
      </c>
      <c r="D66">
        <v>0</v>
      </c>
      <c r="E66">
        <v>10340</v>
      </c>
      <c r="F66">
        <v>8589</v>
      </c>
      <c r="G66">
        <v>5107</v>
      </c>
      <c r="H66">
        <v>1211.06</v>
      </c>
      <c r="I66">
        <v>1005.97</v>
      </c>
      <c r="J66">
        <v>598.15</v>
      </c>
      <c r="K66">
        <v>2815.18</v>
      </c>
      <c r="L66">
        <v>46.58</v>
      </c>
      <c r="M66">
        <v>38.69</v>
      </c>
      <c r="N66">
        <v>23</v>
      </c>
    </row>
    <row r="67" spans="1:14" x14ac:dyDescent="0.3">
      <c r="A67" s="26">
        <v>45554</v>
      </c>
      <c r="B67">
        <v>5</v>
      </c>
      <c r="C67" t="s">
        <v>6</v>
      </c>
      <c r="D67">
        <v>0</v>
      </c>
      <c r="E67">
        <v>10527</v>
      </c>
      <c r="F67">
        <v>7082</v>
      </c>
      <c r="G67">
        <v>8105</v>
      </c>
      <c r="H67">
        <v>1232.96</v>
      </c>
      <c r="I67">
        <v>829.47</v>
      </c>
      <c r="J67">
        <v>949.29</v>
      </c>
      <c r="K67">
        <v>3011.71</v>
      </c>
      <c r="L67">
        <v>47.42</v>
      </c>
      <c r="M67">
        <v>31.9</v>
      </c>
      <c r="N67">
        <v>36.51</v>
      </c>
    </row>
    <row r="68" spans="1:14" x14ac:dyDescent="0.3">
      <c r="A68" s="26">
        <v>45554</v>
      </c>
      <c r="B68">
        <v>6</v>
      </c>
      <c r="C68" t="s">
        <v>6</v>
      </c>
      <c r="D68">
        <v>0</v>
      </c>
      <c r="E68">
        <v>10051</v>
      </c>
      <c r="F68">
        <v>7611</v>
      </c>
      <c r="G68">
        <v>6732</v>
      </c>
      <c r="H68">
        <v>1177.21</v>
      </c>
      <c r="I68">
        <v>891.43</v>
      </c>
      <c r="J68">
        <v>788.47</v>
      </c>
      <c r="K68">
        <v>2857.11</v>
      </c>
      <c r="L68">
        <v>45.27</v>
      </c>
      <c r="M68">
        <v>34.28</v>
      </c>
      <c r="N68">
        <v>30.32</v>
      </c>
    </row>
    <row r="69" spans="1:14" x14ac:dyDescent="0.3">
      <c r="A69" s="26">
        <v>45554</v>
      </c>
      <c r="B69">
        <v>7</v>
      </c>
      <c r="C69" t="s">
        <v>26</v>
      </c>
      <c r="D69">
        <v>0</v>
      </c>
      <c r="E69">
        <v>11131</v>
      </c>
      <c r="F69">
        <v>9298</v>
      </c>
      <c r="G69">
        <v>8641</v>
      </c>
      <c r="H69">
        <v>1303.7</v>
      </c>
      <c r="I69">
        <v>1089.01</v>
      </c>
      <c r="J69">
        <v>1012.06</v>
      </c>
      <c r="K69">
        <v>3404.78</v>
      </c>
      <c r="L69">
        <v>50.14</v>
      </c>
      <c r="M69">
        <v>41.88</v>
      </c>
      <c r="N69">
        <v>38.92</v>
      </c>
    </row>
    <row r="70" spans="1:14" x14ac:dyDescent="0.3">
      <c r="A70" s="26">
        <v>45554</v>
      </c>
      <c r="B70">
        <v>8</v>
      </c>
      <c r="C70" t="s">
        <v>6</v>
      </c>
      <c r="D70" t="s">
        <v>26</v>
      </c>
      <c r="E70">
        <v>6971</v>
      </c>
      <c r="F70">
        <v>6495</v>
      </c>
      <c r="G70">
        <v>9317</v>
      </c>
      <c r="H70">
        <v>816.47</v>
      </c>
      <c r="I70">
        <v>760.72</v>
      </c>
      <c r="J70">
        <v>1091.24</v>
      </c>
      <c r="K70">
        <v>2668.42</v>
      </c>
      <c r="L70">
        <v>31.4</v>
      </c>
      <c r="M70">
        <v>29.26</v>
      </c>
      <c r="N70">
        <v>41.97</v>
      </c>
    </row>
    <row r="71" spans="1:14" x14ac:dyDescent="0.3">
      <c r="A71" s="26">
        <v>45554</v>
      </c>
      <c r="B71">
        <v>9</v>
      </c>
      <c r="C71" t="s">
        <v>6</v>
      </c>
      <c r="D71">
        <v>0</v>
      </c>
      <c r="E71">
        <v>9166</v>
      </c>
      <c r="F71">
        <v>6143</v>
      </c>
      <c r="G71">
        <v>9267</v>
      </c>
      <c r="H71">
        <v>1073.55</v>
      </c>
      <c r="I71">
        <v>719.49</v>
      </c>
      <c r="J71">
        <v>1085.3800000000001</v>
      </c>
      <c r="K71">
        <v>2878.42</v>
      </c>
      <c r="L71">
        <v>41.29</v>
      </c>
      <c r="M71">
        <v>27.67</v>
      </c>
      <c r="N71">
        <v>41.74</v>
      </c>
    </row>
    <row r="72" spans="1:14" x14ac:dyDescent="0.3">
      <c r="A72" s="26">
        <v>45554</v>
      </c>
      <c r="B72">
        <v>10</v>
      </c>
      <c r="C72" t="s">
        <v>6</v>
      </c>
      <c r="D72" t="s">
        <v>8</v>
      </c>
      <c r="E72">
        <v>9900</v>
      </c>
      <c r="F72">
        <v>6274</v>
      </c>
      <c r="G72">
        <v>4242</v>
      </c>
      <c r="H72">
        <v>1159.52</v>
      </c>
      <c r="I72">
        <v>734.83</v>
      </c>
      <c r="J72">
        <v>496.84</v>
      </c>
      <c r="K72">
        <v>2391.19</v>
      </c>
      <c r="L72">
        <v>44.59</v>
      </c>
      <c r="M72">
        <v>28.26</v>
      </c>
      <c r="N72">
        <v>19.11</v>
      </c>
    </row>
    <row r="73" spans="1:14" x14ac:dyDescent="0.3">
      <c r="A73" s="26">
        <v>45554</v>
      </c>
      <c r="B73">
        <v>11</v>
      </c>
      <c r="C73" t="s">
        <v>14</v>
      </c>
      <c r="D73" t="s">
        <v>8</v>
      </c>
      <c r="E73">
        <v>10544</v>
      </c>
      <c r="F73">
        <v>7748</v>
      </c>
      <c r="G73">
        <v>6230</v>
      </c>
      <c r="H73">
        <v>1234.95</v>
      </c>
      <c r="I73">
        <v>907.47</v>
      </c>
      <c r="J73">
        <v>729.68</v>
      </c>
      <c r="K73">
        <v>2872.1</v>
      </c>
      <c r="L73">
        <v>47.5</v>
      </c>
      <c r="M73">
        <v>34.9</v>
      </c>
      <c r="N73">
        <v>28.06</v>
      </c>
    </row>
    <row r="74" spans="1:14" x14ac:dyDescent="0.3">
      <c r="A74" s="33">
        <v>45554</v>
      </c>
      <c r="B74" s="34" t="s">
        <v>23</v>
      </c>
      <c r="C74" s="34"/>
      <c r="D74" s="34"/>
      <c r="E74" s="34">
        <v>105530</v>
      </c>
      <c r="F74" s="34">
        <v>85415</v>
      </c>
      <c r="G74" s="34">
        <v>83440</v>
      </c>
      <c r="H74" s="34">
        <v>12360.03</v>
      </c>
      <c r="I74" s="34">
        <v>10004.1</v>
      </c>
      <c r="J74" s="34">
        <v>9772.7800000000007</v>
      </c>
      <c r="K74" s="34">
        <v>32136.9</v>
      </c>
      <c r="L74" s="34">
        <v>43.21</v>
      </c>
      <c r="M74" s="34">
        <v>34.979999999999997</v>
      </c>
      <c r="N74" s="34">
        <v>34.17</v>
      </c>
    </row>
    <row r="75" spans="1:14" x14ac:dyDescent="0.3">
      <c r="A75" s="26">
        <v>45553</v>
      </c>
      <c r="B75">
        <v>1</v>
      </c>
      <c r="C75" t="s">
        <v>11</v>
      </c>
      <c r="D75">
        <v>0</v>
      </c>
      <c r="E75">
        <v>8342</v>
      </c>
      <c r="F75">
        <v>9642</v>
      </c>
      <c r="G75">
        <v>9950</v>
      </c>
      <c r="H75">
        <v>977.04</v>
      </c>
      <c r="I75">
        <v>1129.3</v>
      </c>
      <c r="J75">
        <v>1165.3800000000001</v>
      </c>
      <c r="K75">
        <v>3271.73</v>
      </c>
      <c r="L75">
        <v>37.58</v>
      </c>
      <c r="M75">
        <v>43.43</v>
      </c>
      <c r="N75">
        <v>44.82</v>
      </c>
    </row>
    <row r="76" spans="1:14" x14ac:dyDescent="0.3">
      <c r="A76" s="26">
        <v>45553</v>
      </c>
      <c r="B76">
        <v>2</v>
      </c>
      <c r="C76" t="s">
        <v>11</v>
      </c>
      <c r="D76">
        <v>0</v>
      </c>
      <c r="E76">
        <v>9243</v>
      </c>
      <c r="F76">
        <v>8231</v>
      </c>
      <c r="G76">
        <v>8085</v>
      </c>
      <c r="H76">
        <v>1082.57</v>
      </c>
      <c r="I76">
        <v>964.04</v>
      </c>
      <c r="J76">
        <v>946.94</v>
      </c>
      <c r="K76">
        <v>2993.56</v>
      </c>
      <c r="L76">
        <v>41.64</v>
      </c>
      <c r="M76">
        <v>37.08</v>
      </c>
      <c r="N76">
        <v>36.42</v>
      </c>
    </row>
    <row r="77" spans="1:14" x14ac:dyDescent="0.3">
      <c r="A77" s="26">
        <v>45553</v>
      </c>
      <c r="B77">
        <v>3</v>
      </c>
      <c r="C77" t="s">
        <v>10</v>
      </c>
      <c r="D77" t="s">
        <v>6</v>
      </c>
      <c r="E77">
        <v>10354</v>
      </c>
      <c r="F77">
        <v>8403</v>
      </c>
      <c r="G77">
        <v>8480</v>
      </c>
      <c r="H77">
        <v>1212.7</v>
      </c>
      <c r="I77">
        <v>984.19</v>
      </c>
      <c r="J77">
        <v>993.21</v>
      </c>
      <c r="K77">
        <v>3190.09</v>
      </c>
      <c r="L77">
        <v>46.64</v>
      </c>
      <c r="M77">
        <v>37.85</v>
      </c>
      <c r="N77">
        <v>38.200000000000003</v>
      </c>
    </row>
    <row r="78" spans="1:14" x14ac:dyDescent="0.3">
      <c r="A78" s="26">
        <v>45553</v>
      </c>
      <c r="B78">
        <v>4</v>
      </c>
      <c r="C78" t="s">
        <v>10</v>
      </c>
      <c r="D78">
        <v>0</v>
      </c>
      <c r="E78">
        <v>9215</v>
      </c>
      <c r="F78">
        <v>9381</v>
      </c>
      <c r="G78">
        <v>6816</v>
      </c>
      <c r="H78">
        <v>1079.29</v>
      </c>
      <c r="I78">
        <v>1098.73</v>
      </c>
      <c r="J78">
        <v>798.31</v>
      </c>
      <c r="K78">
        <v>2976.34</v>
      </c>
      <c r="L78">
        <v>41.51</v>
      </c>
      <c r="M78">
        <v>42.26</v>
      </c>
      <c r="N78">
        <v>30.7</v>
      </c>
    </row>
    <row r="79" spans="1:14" x14ac:dyDescent="0.3">
      <c r="A79" s="26">
        <v>45553</v>
      </c>
      <c r="B79">
        <v>5</v>
      </c>
      <c r="C79" t="s">
        <v>6</v>
      </c>
      <c r="D79">
        <v>0</v>
      </c>
      <c r="E79">
        <v>8967</v>
      </c>
      <c r="F79">
        <v>6229</v>
      </c>
      <c r="G79">
        <v>6100</v>
      </c>
      <c r="H79">
        <v>1050.25</v>
      </c>
      <c r="I79">
        <v>729.56</v>
      </c>
      <c r="J79">
        <v>714.45</v>
      </c>
      <c r="K79">
        <v>2494.2600000000002</v>
      </c>
      <c r="L79">
        <v>40.39</v>
      </c>
      <c r="M79">
        <v>28.06</v>
      </c>
      <c r="N79">
        <v>27.48</v>
      </c>
    </row>
    <row r="80" spans="1:14" x14ac:dyDescent="0.3">
      <c r="A80" s="26">
        <v>45553</v>
      </c>
      <c r="B80">
        <v>6</v>
      </c>
      <c r="C80" t="s">
        <v>6</v>
      </c>
      <c r="D80">
        <v>0</v>
      </c>
      <c r="E80">
        <v>5900</v>
      </c>
      <c r="F80">
        <v>11260</v>
      </c>
      <c r="G80">
        <v>5650</v>
      </c>
      <c r="H80">
        <v>691.03</v>
      </c>
      <c r="I80">
        <v>1318.81</v>
      </c>
      <c r="J80">
        <v>661.75</v>
      </c>
      <c r="K80">
        <v>2671.58</v>
      </c>
      <c r="L80">
        <v>26.58</v>
      </c>
      <c r="M80">
        <v>50.72</v>
      </c>
      <c r="N80">
        <v>25.45</v>
      </c>
    </row>
    <row r="81" spans="1:14" x14ac:dyDescent="0.3">
      <c r="A81" s="26">
        <v>45553</v>
      </c>
      <c r="B81">
        <v>7</v>
      </c>
      <c r="C81" t="s">
        <v>6</v>
      </c>
      <c r="D81" t="s">
        <v>26</v>
      </c>
      <c r="E81">
        <v>12629</v>
      </c>
      <c r="F81">
        <v>10125</v>
      </c>
      <c r="G81">
        <v>12065</v>
      </c>
      <c r="H81">
        <v>1479.15</v>
      </c>
      <c r="I81">
        <v>1185.8699999999999</v>
      </c>
      <c r="J81">
        <v>1413.09</v>
      </c>
      <c r="K81">
        <v>4078.12</v>
      </c>
      <c r="L81">
        <v>56.89</v>
      </c>
      <c r="M81">
        <v>45.61</v>
      </c>
      <c r="N81">
        <v>54.35</v>
      </c>
    </row>
    <row r="82" spans="1:14" x14ac:dyDescent="0.3">
      <c r="A82" s="26">
        <v>45553</v>
      </c>
      <c r="B82">
        <v>8</v>
      </c>
      <c r="C82" t="s">
        <v>26</v>
      </c>
      <c r="D82">
        <v>0</v>
      </c>
      <c r="E82">
        <v>9846</v>
      </c>
      <c r="F82">
        <v>7162</v>
      </c>
      <c r="G82">
        <v>7710</v>
      </c>
      <c r="H82">
        <v>1153.2</v>
      </c>
      <c r="I82">
        <v>838.84</v>
      </c>
      <c r="J82">
        <v>903.02</v>
      </c>
      <c r="K82">
        <v>2895.06</v>
      </c>
      <c r="L82">
        <v>44.35</v>
      </c>
      <c r="M82">
        <v>32.26</v>
      </c>
      <c r="N82">
        <v>34.729999999999997</v>
      </c>
    </row>
    <row r="83" spans="1:14" x14ac:dyDescent="0.3">
      <c r="A83" s="26">
        <v>45553</v>
      </c>
      <c r="B83">
        <v>9</v>
      </c>
      <c r="C83" t="s">
        <v>26</v>
      </c>
      <c r="D83" t="s">
        <v>6</v>
      </c>
      <c r="E83">
        <v>1087</v>
      </c>
      <c r="F83">
        <v>8703</v>
      </c>
      <c r="G83">
        <v>10694</v>
      </c>
      <c r="H83">
        <v>127.31</v>
      </c>
      <c r="I83">
        <v>1019.32</v>
      </c>
      <c r="J83">
        <v>1252.52</v>
      </c>
      <c r="K83">
        <v>2399.16</v>
      </c>
      <c r="L83">
        <v>4.9000000000000004</v>
      </c>
      <c r="M83">
        <v>39.200000000000003</v>
      </c>
      <c r="N83">
        <v>48.17</v>
      </c>
    </row>
    <row r="84" spans="1:14" x14ac:dyDescent="0.3">
      <c r="A84" s="26">
        <v>45553</v>
      </c>
      <c r="B84">
        <v>10</v>
      </c>
      <c r="C84" t="s">
        <v>6</v>
      </c>
      <c r="D84" t="s">
        <v>12</v>
      </c>
      <c r="E84">
        <v>10078</v>
      </c>
      <c r="F84">
        <v>7082</v>
      </c>
      <c r="G84">
        <v>8553</v>
      </c>
      <c r="H84">
        <v>1180.3699999999999</v>
      </c>
      <c r="I84">
        <v>829.47</v>
      </c>
      <c r="J84">
        <v>1001.76</v>
      </c>
      <c r="K84">
        <v>3011.59</v>
      </c>
      <c r="L84">
        <v>45.4</v>
      </c>
      <c r="M84">
        <v>31.9</v>
      </c>
      <c r="N84">
        <v>38.53</v>
      </c>
    </row>
    <row r="85" spans="1:14" x14ac:dyDescent="0.3">
      <c r="A85" s="26">
        <v>45553</v>
      </c>
      <c r="B85">
        <v>11</v>
      </c>
      <c r="C85" t="s">
        <v>14</v>
      </c>
      <c r="D85">
        <v>0</v>
      </c>
      <c r="E85">
        <v>8990</v>
      </c>
      <c r="F85">
        <v>7333</v>
      </c>
      <c r="G85">
        <v>8292</v>
      </c>
      <c r="H85">
        <v>1052.94</v>
      </c>
      <c r="I85">
        <v>858.87</v>
      </c>
      <c r="J85">
        <v>971.19</v>
      </c>
      <c r="K85">
        <v>2882.99</v>
      </c>
      <c r="L85">
        <v>40.5</v>
      </c>
      <c r="M85">
        <v>33.03</v>
      </c>
      <c r="N85">
        <v>37.35</v>
      </c>
    </row>
    <row r="86" spans="1:14" x14ac:dyDescent="0.3">
      <c r="A86" s="33">
        <v>45553</v>
      </c>
      <c r="B86" s="34" t="s">
        <v>23</v>
      </c>
      <c r="C86" s="34"/>
      <c r="D86" s="34"/>
      <c r="E86" s="34">
        <v>94651</v>
      </c>
      <c r="F86" s="34">
        <v>93551</v>
      </c>
      <c r="G86" s="34">
        <v>92395</v>
      </c>
      <c r="H86" s="34">
        <v>11085.85</v>
      </c>
      <c r="I86" s="34">
        <v>10957.01</v>
      </c>
      <c r="J86" s="34">
        <v>10821.62</v>
      </c>
      <c r="K86" s="34">
        <v>32864.480000000003</v>
      </c>
      <c r="L86" s="34">
        <v>38.759</v>
      </c>
      <c r="M86" s="34">
        <v>38.308999999999997</v>
      </c>
      <c r="N86" s="34">
        <v>37.840000000000003</v>
      </c>
    </row>
    <row r="87" spans="1:14" x14ac:dyDescent="0.3">
      <c r="A87" s="26">
        <v>45552</v>
      </c>
      <c r="B87">
        <v>1</v>
      </c>
      <c r="C87" t="s">
        <v>13</v>
      </c>
      <c r="D87">
        <v>0</v>
      </c>
      <c r="E87">
        <v>8813</v>
      </c>
      <c r="F87">
        <v>6632</v>
      </c>
      <c r="G87">
        <v>7591</v>
      </c>
      <c r="H87">
        <v>1032.2085427906582</v>
      </c>
      <c r="I87">
        <v>776.76240278992896</v>
      </c>
      <c r="J87">
        <v>889.0837454128997</v>
      </c>
      <c r="K87">
        <v>2698.0546909934869</v>
      </c>
      <c r="L87">
        <v>39.698190973972871</v>
      </c>
      <c r="M87">
        <v>29.873868437466022</v>
      </c>
      <c r="N87">
        <v>34.193687471170776</v>
      </c>
    </row>
    <row r="88" spans="1:14" x14ac:dyDescent="0.3">
      <c r="A88" s="26">
        <v>45552</v>
      </c>
      <c r="B88">
        <v>2</v>
      </c>
      <c r="C88" t="s">
        <v>11</v>
      </c>
      <c r="D88">
        <v>0</v>
      </c>
      <c r="E88">
        <v>7705</v>
      </c>
      <c r="F88">
        <v>5661</v>
      </c>
      <c r="G88">
        <v>7862</v>
      </c>
      <c r="H88">
        <v>902.435813253378</v>
      </c>
      <c r="I88">
        <v>663.03557934164473</v>
      </c>
      <c r="J88">
        <v>920.82418738456295</v>
      </c>
      <c r="K88">
        <v>2486.2955799795855</v>
      </c>
      <c r="L88">
        <v>34.707200891235779</v>
      </c>
      <c r="M88">
        <v>25.499995359543899</v>
      </c>
      <c r="N88">
        <v>35.414407969746357</v>
      </c>
    </row>
    <row r="89" spans="1:14" x14ac:dyDescent="0.3">
      <c r="A89" s="26">
        <v>45552</v>
      </c>
      <c r="B89">
        <v>3</v>
      </c>
      <c r="C89" t="s">
        <v>10</v>
      </c>
      <c r="D89" t="s">
        <v>11</v>
      </c>
      <c r="E89">
        <v>9608</v>
      </c>
      <c r="F89">
        <v>4443</v>
      </c>
      <c r="G89">
        <v>6541</v>
      </c>
      <c r="H89">
        <v>1125.3216474676776</v>
      </c>
      <c r="I89">
        <v>520.37927557232433</v>
      </c>
      <c r="J89">
        <v>766.10417319796829</v>
      </c>
      <c r="K89">
        <v>2411.8050962379702</v>
      </c>
      <c r="L89">
        <v>43.279271403373578</v>
      </c>
      <c r="M89">
        <v>20.013509871480935</v>
      </c>
      <c r="N89">
        <v>29.463958602150974</v>
      </c>
    </row>
    <row r="90" spans="1:14" x14ac:dyDescent="0.3">
      <c r="A90" s="26">
        <v>45552</v>
      </c>
      <c r="B90">
        <v>4</v>
      </c>
      <c r="C90" t="s">
        <v>10</v>
      </c>
      <c r="D90">
        <v>0</v>
      </c>
      <c r="E90">
        <v>7620</v>
      </c>
      <c r="F90">
        <v>5162</v>
      </c>
      <c r="G90">
        <v>6864</v>
      </c>
      <c r="H90">
        <v>892.48032407407413</v>
      </c>
      <c r="I90">
        <v>604.59100168902501</v>
      </c>
      <c r="J90">
        <v>803.93503207932326</v>
      </c>
      <c r="K90">
        <v>2301.0063578424224</v>
      </c>
      <c r="L90">
        <v>34.324318078029421</v>
      </c>
      <c r="M90">
        <v>23.252248020838305</v>
      </c>
      <c r="N90">
        <v>30.918913292335155</v>
      </c>
    </row>
    <row r="91" spans="1:14" x14ac:dyDescent="0.3">
      <c r="A91" s="26">
        <v>45552</v>
      </c>
      <c r="B91">
        <v>5</v>
      </c>
      <c r="C91" t="s">
        <v>6</v>
      </c>
      <c r="D91">
        <v>0</v>
      </c>
      <c r="E91">
        <v>4800</v>
      </c>
      <c r="F91">
        <v>2490</v>
      </c>
      <c r="G91">
        <v>8210</v>
      </c>
      <c r="H91">
        <v>562.19233012540099</v>
      </c>
      <c r="I91">
        <v>291.63727125255173</v>
      </c>
      <c r="J91">
        <v>961.58313131865452</v>
      </c>
      <c r="K91">
        <v>1815.4127326966072</v>
      </c>
      <c r="L91">
        <v>21.621617686947666</v>
      </c>
      <c r="M91">
        <v>11.216214175104099</v>
      </c>
      <c r="N91">
        <v>36.981975252050063</v>
      </c>
    </row>
    <row r="92" spans="1:14" x14ac:dyDescent="0.3">
      <c r="A92" s="26">
        <v>45552</v>
      </c>
      <c r="B92">
        <v>6</v>
      </c>
      <c r="C92" t="s">
        <v>6</v>
      </c>
      <c r="D92">
        <v>0</v>
      </c>
      <c r="E92">
        <v>10498</v>
      </c>
      <c r="F92">
        <v>4692</v>
      </c>
      <c r="G92">
        <v>6966</v>
      </c>
      <c r="H92">
        <v>1229.5614753450957</v>
      </c>
      <c r="I92">
        <v>549.54300269757937</v>
      </c>
      <c r="J92">
        <v>815.88161909448809</v>
      </c>
      <c r="K92">
        <v>2594.9860971371631</v>
      </c>
      <c r="L92">
        <v>47.288279682828453</v>
      </c>
      <c r="M92">
        <v>21.135131288991339</v>
      </c>
      <c r="N92">
        <v>31.378372668182799</v>
      </c>
    </row>
    <row r="93" spans="1:14" x14ac:dyDescent="0.3">
      <c r="A93" s="26">
        <v>45552</v>
      </c>
      <c r="B93">
        <v>7</v>
      </c>
      <c r="C93" t="s">
        <v>6</v>
      </c>
      <c r="D93">
        <v>0</v>
      </c>
      <c r="E93">
        <v>13055</v>
      </c>
      <c r="F93">
        <v>4159</v>
      </c>
      <c r="G93">
        <v>9423</v>
      </c>
      <c r="H93">
        <v>1529.0460145389811</v>
      </c>
      <c r="I93">
        <v>487.11622937323801</v>
      </c>
      <c r="J93">
        <v>1103.6538180774278</v>
      </c>
      <c r="K93">
        <v>3119.8160619896471</v>
      </c>
      <c r="L93">
        <v>58.806295604812867</v>
      </c>
      <c r="M93">
        <v>18.734230825003191</v>
      </c>
      <c r="N93">
        <v>42.445938221689133</v>
      </c>
    </row>
    <row r="94" spans="1:14" x14ac:dyDescent="0.3">
      <c r="A94" s="26">
        <v>45552</v>
      </c>
      <c r="B94">
        <v>8</v>
      </c>
      <c r="C94" t="s">
        <v>26</v>
      </c>
      <c r="D94">
        <v>0</v>
      </c>
      <c r="E94">
        <v>5722</v>
      </c>
      <c r="F94">
        <v>5870</v>
      </c>
      <c r="G94">
        <v>9057</v>
      </c>
      <c r="H94">
        <v>670.18010687032177</v>
      </c>
      <c r="I94">
        <v>687.51437038252163</v>
      </c>
      <c r="J94">
        <v>1060.7866529053661</v>
      </c>
      <c r="K94">
        <v>2418.4811301582095</v>
      </c>
      <c r="L94">
        <v>25.774770084315531</v>
      </c>
      <c r="M94">
        <v>26.441436629663084</v>
      </c>
      <c r="N94">
        <v>40.797289873059377</v>
      </c>
    </row>
    <row r="95" spans="1:14" x14ac:dyDescent="0.3">
      <c r="A95" s="26">
        <v>45552</v>
      </c>
      <c r="B95">
        <v>9</v>
      </c>
      <c r="C95" t="s">
        <v>26</v>
      </c>
      <c r="D95" t="s">
        <v>6</v>
      </c>
      <c r="E95">
        <v>9688</v>
      </c>
      <c r="F95">
        <v>4026</v>
      </c>
      <c r="G95">
        <v>9342</v>
      </c>
      <c r="H95">
        <v>1134.6915196364344</v>
      </c>
      <c r="I95">
        <v>471.53881689268013</v>
      </c>
      <c r="J95">
        <v>1094.1668225065614</v>
      </c>
      <c r="K95">
        <v>2700.3971590356759</v>
      </c>
      <c r="L95">
        <v>43.639631698156037</v>
      </c>
      <c r="M95">
        <v>18.135131834927357</v>
      </c>
      <c r="N95">
        <v>42.081073423221881</v>
      </c>
    </row>
    <row r="96" spans="1:14" x14ac:dyDescent="0.3">
      <c r="A96" s="26">
        <v>45552</v>
      </c>
      <c r="B96">
        <v>10</v>
      </c>
      <c r="C96" t="s">
        <v>6</v>
      </c>
      <c r="D96" t="s">
        <v>8</v>
      </c>
      <c r="E96">
        <v>9975</v>
      </c>
      <c r="F96">
        <v>4515</v>
      </c>
      <c r="G96">
        <v>7278</v>
      </c>
      <c r="H96">
        <v>1168.3059360418488</v>
      </c>
      <c r="I96">
        <v>528.8121605242053</v>
      </c>
      <c r="J96">
        <v>852.42412055263912</v>
      </c>
      <c r="K96">
        <v>2549.5422171186933</v>
      </c>
      <c r="L96">
        <v>44.932424255688105</v>
      </c>
      <c r="M96">
        <v>20.337834136785148</v>
      </c>
      <c r="N96">
        <v>32.783777817834391</v>
      </c>
    </row>
    <row r="97" spans="1:14" x14ac:dyDescent="0.3">
      <c r="A97" s="26">
        <v>45552</v>
      </c>
      <c r="B97">
        <v>11</v>
      </c>
      <c r="C97" t="s">
        <v>8</v>
      </c>
      <c r="D97">
        <v>0</v>
      </c>
      <c r="E97">
        <v>8878</v>
      </c>
      <c r="F97">
        <v>5440</v>
      </c>
      <c r="G97">
        <v>6987</v>
      </c>
      <c r="H97">
        <v>1039.821563927773</v>
      </c>
      <c r="I97">
        <v>637.15130747545447</v>
      </c>
      <c r="J97">
        <v>818.34121053878687</v>
      </c>
      <c r="K97">
        <v>2495.3140819420146</v>
      </c>
      <c r="L97">
        <v>39.990983713483622</v>
      </c>
      <c r="M97">
        <v>24.504500045207354</v>
      </c>
      <c r="N97">
        <v>31.472967245563201</v>
      </c>
    </row>
    <row r="98" spans="1:14" x14ac:dyDescent="0.3">
      <c r="A98" s="26">
        <v>45551</v>
      </c>
      <c r="B98">
        <v>1</v>
      </c>
      <c r="C98" t="s">
        <v>11</v>
      </c>
      <c r="D98">
        <v>0</v>
      </c>
      <c r="E98">
        <v>0</v>
      </c>
      <c r="F98">
        <v>7920</v>
      </c>
      <c r="G98">
        <v>1578</v>
      </c>
      <c r="H98">
        <v>0</v>
      </c>
      <c r="I98">
        <v>927.61734470691169</v>
      </c>
      <c r="J98">
        <v>184.8207285287256</v>
      </c>
      <c r="K98">
        <v>1112.4380732356374</v>
      </c>
      <c r="L98">
        <v>0</v>
      </c>
      <c r="M98">
        <v>35.675669183463647</v>
      </c>
      <c r="N98">
        <v>7.1081068145840458</v>
      </c>
    </row>
    <row r="99" spans="1:14" x14ac:dyDescent="0.3">
      <c r="A99" s="26">
        <v>45551</v>
      </c>
      <c r="B99">
        <v>2</v>
      </c>
      <c r="C99" t="s">
        <v>11</v>
      </c>
      <c r="D99">
        <v>0</v>
      </c>
      <c r="E99">
        <v>0</v>
      </c>
      <c r="F99">
        <v>6194</v>
      </c>
      <c r="G99">
        <v>1548</v>
      </c>
      <c r="H99">
        <v>0</v>
      </c>
      <c r="I99">
        <v>725.46235266598615</v>
      </c>
      <c r="J99">
        <v>181.30702646544179</v>
      </c>
      <c r="K99">
        <v>906.76937913142797</v>
      </c>
      <c r="L99">
        <v>0</v>
      </c>
      <c r="M99">
        <v>27.900895823532046</v>
      </c>
      <c r="N99">
        <v>6.9729717040406216</v>
      </c>
    </row>
    <row r="100" spans="1:14" x14ac:dyDescent="0.3">
      <c r="A100" s="26">
        <v>45551</v>
      </c>
      <c r="B100">
        <v>3</v>
      </c>
      <c r="C100" t="s">
        <v>10</v>
      </c>
      <c r="D100">
        <v>0</v>
      </c>
      <c r="E100">
        <v>0</v>
      </c>
      <c r="F100">
        <v>7532</v>
      </c>
      <c r="G100">
        <v>8875</v>
      </c>
      <c r="H100">
        <v>0</v>
      </c>
      <c r="I100">
        <v>882.17346468844175</v>
      </c>
      <c r="J100">
        <v>1039.4701937214445</v>
      </c>
      <c r="K100">
        <v>1921.6436584098863</v>
      </c>
      <c r="L100">
        <v>0</v>
      </c>
      <c r="M100">
        <v>33.927921753768715</v>
      </c>
      <c r="N100">
        <v>39.977470202429274</v>
      </c>
    </row>
    <row r="101" spans="1:14" x14ac:dyDescent="0.3">
      <c r="A101" s="26">
        <v>45551</v>
      </c>
      <c r="B101">
        <v>4</v>
      </c>
      <c r="C101">
        <v>0</v>
      </c>
      <c r="D101">
        <v>0</v>
      </c>
      <c r="E101">
        <v>0</v>
      </c>
      <c r="F101">
        <v>7690</v>
      </c>
      <c r="G101">
        <v>3020</v>
      </c>
      <c r="H101">
        <v>0</v>
      </c>
      <c r="I101">
        <v>900.67896222173601</v>
      </c>
      <c r="J101">
        <v>353.71267437056474</v>
      </c>
      <c r="K101">
        <v>1254.3916365923008</v>
      </c>
      <c r="L101">
        <v>0</v>
      </c>
      <c r="M101">
        <v>34.639633335964064</v>
      </c>
      <c r="N101">
        <v>13.603601128037903</v>
      </c>
    </row>
    <row r="102" spans="1:14" x14ac:dyDescent="0.3">
      <c r="A102" s="26">
        <v>45551</v>
      </c>
      <c r="B102">
        <v>5</v>
      </c>
      <c r="C102">
        <v>0</v>
      </c>
      <c r="D102">
        <v>0</v>
      </c>
      <c r="E102">
        <v>0</v>
      </c>
      <c r="F102">
        <v>9800</v>
      </c>
      <c r="G102">
        <v>502</v>
      </c>
      <c r="H102">
        <v>0</v>
      </c>
      <c r="I102">
        <v>1147.8093406726935</v>
      </c>
      <c r="J102">
        <v>58.795947858948182</v>
      </c>
      <c r="K102">
        <v>1206.6052885316417</v>
      </c>
      <c r="L102">
        <v>0</v>
      </c>
      <c r="M102">
        <v>44.14413611085147</v>
      </c>
      <c r="N102">
        <v>2.2612608497599429</v>
      </c>
    </row>
    <row r="103" spans="1:14" x14ac:dyDescent="0.3">
      <c r="A103" s="26">
        <v>45551</v>
      </c>
      <c r="B103">
        <v>6</v>
      </c>
      <c r="C103">
        <v>0</v>
      </c>
      <c r="D103">
        <v>0</v>
      </c>
      <c r="E103">
        <v>0</v>
      </c>
      <c r="F103">
        <v>11430</v>
      </c>
      <c r="G103">
        <v>2673</v>
      </c>
      <c r="H103">
        <v>0</v>
      </c>
      <c r="I103">
        <v>1338.7204861111109</v>
      </c>
      <c r="J103">
        <v>313.07085383858265</v>
      </c>
      <c r="K103">
        <v>1651.7913399496936</v>
      </c>
      <c r="L103">
        <v>0</v>
      </c>
      <c r="M103">
        <v>51.486477117044117</v>
      </c>
      <c r="N103">
        <v>12.040538349418981</v>
      </c>
    </row>
    <row r="104" spans="1:14" x14ac:dyDescent="0.3">
      <c r="A104" s="26">
        <v>45551</v>
      </c>
      <c r="B104">
        <v>7</v>
      </c>
      <c r="C104">
        <v>0</v>
      </c>
      <c r="D104">
        <v>0</v>
      </c>
      <c r="E104">
        <v>0</v>
      </c>
      <c r="F104">
        <v>8247</v>
      </c>
      <c r="G104">
        <v>1873</v>
      </c>
      <c r="H104">
        <v>0</v>
      </c>
      <c r="I104">
        <v>965.9166971967046</v>
      </c>
      <c r="J104">
        <v>219.37213215101582</v>
      </c>
      <c r="K104">
        <v>1185.2888293477204</v>
      </c>
      <c r="L104">
        <v>0</v>
      </c>
      <c r="M104">
        <v>37.148641888386955</v>
      </c>
      <c r="N104">
        <v>8.4369354015943703</v>
      </c>
    </row>
    <row r="105" spans="1:14" x14ac:dyDescent="0.3">
      <c r="A105" s="26">
        <v>45551</v>
      </c>
      <c r="B105">
        <v>8</v>
      </c>
      <c r="C105">
        <v>0</v>
      </c>
      <c r="D105">
        <v>0</v>
      </c>
      <c r="E105">
        <v>0</v>
      </c>
      <c r="F105">
        <v>8950</v>
      </c>
      <c r="G105">
        <v>1454</v>
      </c>
      <c r="H105">
        <v>0</v>
      </c>
      <c r="I105">
        <v>1048.2544488796539</v>
      </c>
      <c r="J105">
        <v>170.29742666715271</v>
      </c>
      <c r="K105">
        <v>1218.5518755468065</v>
      </c>
      <c r="L105">
        <v>0</v>
      </c>
      <c r="M105">
        <v>40.315307978787828</v>
      </c>
      <c r="N105">
        <v>6.5495483576712292</v>
      </c>
    </row>
    <row r="106" spans="1:14" x14ac:dyDescent="0.3">
      <c r="A106" s="26">
        <v>45551</v>
      </c>
      <c r="B106">
        <v>9</v>
      </c>
      <c r="C106">
        <v>0</v>
      </c>
      <c r="D106">
        <v>0</v>
      </c>
      <c r="E106">
        <v>0</v>
      </c>
      <c r="F106">
        <v>9520</v>
      </c>
      <c r="G106">
        <v>3181</v>
      </c>
      <c r="H106">
        <v>0</v>
      </c>
      <c r="I106">
        <v>1115.0147880820452</v>
      </c>
      <c r="J106">
        <v>372.56954211018757</v>
      </c>
      <c r="K106">
        <v>1487.5843301922328</v>
      </c>
      <c r="L106">
        <v>0</v>
      </c>
      <c r="M106">
        <v>42.882875079112864</v>
      </c>
      <c r="N106">
        <v>14.328826221287608</v>
      </c>
    </row>
    <row r="107" spans="1:14" x14ac:dyDescent="0.3">
      <c r="A107" s="26">
        <v>45551</v>
      </c>
      <c r="B107">
        <v>10</v>
      </c>
      <c r="C107">
        <v>0</v>
      </c>
      <c r="D107">
        <v>0</v>
      </c>
      <c r="E107">
        <v>0</v>
      </c>
      <c r="F107">
        <v>10142</v>
      </c>
      <c r="G107">
        <v>1524</v>
      </c>
      <c r="H107">
        <v>0</v>
      </c>
      <c r="I107">
        <v>1187.8655441941285</v>
      </c>
      <c r="J107">
        <v>178.49606481481482</v>
      </c>
      <c r="K107">
        <v>1366.3616090089433</v>
      </c>
      <c r="L107">
        <v>0</v>
      </c>
      <c r="M107">
        <v>45.6846763710465</v>
      </c>
      <c r="N107">
        <v>6.8648636156058833</v>
      </c>
    </row>
    <row r="108" spans="1:14" x14ac:dyDescent="0.3">
      <c r="A108" s="26">
        <v>45551</v>
      </c>
      <c r="B108">
        <v>11</v>
      </c>
      <c r="C108">
        <v>0</v>
      </c>
      <c r="D108">
        <v>0</v>
      </c>
      <c r="E108">
        <v>0</v>
      </c>
      <c r="F108">
        <v>9676</v>
      </c>
      <c r="G108">
        <v>1825</v>
      </c>
      <c r="H108">
        <v>0</v>
      </c>
      <c r="I108">
        <v>1133.2860388111208</v>
      </c>
      <c r="J108">
        <v>213.7502088497618</v>
      </c>
      <c r="K108">
        <v>1347.0362476608825</v>
      </c>
      <c r="L108">
        <v>0</v>
      </c>
      <c r="M108">
        <v>43.585577653938671</v>
      </c>
      <c r="N108">
        <v>8.2207192247248919</v>
      </c>
    </row>
    <row r="131" spans="2:4" x14ac:dyDescent="0.3">
      <c r="B131" s="26"/>
      <c r="C131" s="26"/>
      <c r="D131" s="26"/>
    </row>
    <row r="132" spans="2:4" x14ac:dyDescent="0.3">
      <c r="B132" s="26"/>
      <c r="C132" s="26"/>
      <c r="D132" s="26"/>
    </row>
    <row r="133" spans="2:4" x14ac:dyDescent="0.3">
      <c r="B133" s="26"/>
      <c r="C133" s="26"/>
      <c r="D133" s="26"/>
    </row>
    <row r="134" spans="2:4" x14ac:dyDescent="0.3">
      <c r="B134" s="26"/>
      <c r="C134" s="26"/>
      <c r="D134" s="26"/>
    </row>
    <row r="135" spans="2:4" x14ac:dyDescent="0.3">
      <c r="B135" s="26"/>
      <c r="C135" s="26"/>
      <c r="D135" s="26"/>
    </row>
    <row r="136" spans="2:4" x14ac:dyDescent="0.3">
      <c r="B136" s="26"/>
      <c r="C136" s="26"/>
      <c r="D136" s="26"/>
    </row>
    <row r="137" spans="2:4" x14ac:dyDescent="0.3">
      <c r="B137" s="26"/>
      <c r="C137" s="26"/>
      <c r="D137" s="26"/>
    </row>
    <row r="138" spans="2:4" x14ac:dyDescent="0.3">
      <c r="B138" s="26"/>
      <c r="C138" s="26"/>
      <c r="D138" s="26"/>
    </row>
    <row r="139" spans="2:4" x14ac:dyDescent="0.3">
      <c r="B139" s="26"/>
      <c r="C139" s="26"/>
      <c r="D139" s="26"/>
    </row>
    <row r="140" spans="2:4" x14ac:dyDescent="0.3">
      <c r="B140" s="26"/>
      <c r="C140" s="26"/>
      <c r="D140" s="26"/>
    </row>
    <row r="141" spans="2:4" x14ac:dyDescent="0.3">
      <c r="B141" s="26"/>
      <c r="C141" s="26"/>
      <c r="D141" s="26"/>
    </row>
    <row r="142" spans="2:4" x14ac:dyDescent="0.3">
      <c r="B142" s="26"/>
      <c r="C142" s="26"/>
      <c r="D142" s="26"/>
    </row>
    <row r="143" spans="2:4" x14ac:dyDescent="0.3">
      <c r="B143" s="26"/>
      <c r="C143" s="26"/>
      <c r="D143" s="26"/>
    </row>
    <row r="144" spans="2:4" x14ac:dyDescent="0.3">
      <c r="B144" s="26"/>
      <c r="C144" s="26"/>
      <c r="D144" s="26"/>
    </row>
    <row r="145" spans="2:4" x14ac:dyDescent="0.3">
      <c r="B145" s="26"/>
      <c r="C145" s="26"/>
      <c r="D145" s="26"/>
    </row>
    <row r="146" spans="2:4" x14ac:dyDescent="0.3">
      <c r="B146" s="26"/>
      <c r="C146" s="26"/>
      <c r="D146" s="26"/>
    </row>
  </sheetData>
  <mergeCells count="3">
    <mergeCell ref="E1:G1"/>
    <mergeCell ref="H1:K1"/>
    <mergeCell ref="L1:N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3A8A-3E8D-46C9-89F4-FD277F9F9B07}">
  <sheetPr codeName="Sheet3"/>
  <dimension ref="A1:N12"/>
  <sheetViews>
    <sheetView workbookViewId="0">
      <selection activeCell="L21" sqref="L21"/>
    </sheetView>
  </sheetViews>
  <sheetFormatPr defaultRowHeight="14.4" x14ac:dyDescent="0.3"/>
  <cols>
    <col min="1" max="1" width="9.5546875" bestFit="1" customWidth="1"/>
  </cols>
  <sheetData>
    <row r="1" spans="1:14" x14ac:dyDescent="0.3">
      <c r="A1" s="26">
        <v>45559</v>
      </c>
      <c r="B1">
        <v>1</v>
      </c>
      <c r="C1" t="s">
        <v>11</v>
      </c>
      <c r="D1">
        <v>0</v>
      </c>
      <c r="E1">
        <v>8527</v>
      </c>
      <c r="F1">
        <v>11132</v>
      </c>
      <c r="G1">
        <v>10538</v>
      </c>
      <c r="H1">
        <v>998.71</v>
      </c>
      <c r="I1">
        <v>1303.82</v>
      </c>
      <c r="J1">
        <v>1234.25</v>
      </c>
      <c r="K1">
        <v>3536.78</v>
      </c>
      <c r="L1">
        <v>38.409999999999997</v>
      </c>
      <c r="M1">
        <v>50.14</v>
      </c>
      <c r="N1">
        <v>47.47</v>
      </c>
    </row>
    <row r="2" spans="1:14" x14ac:dyDescent="0.3">
      <c r="A2">
        <v>45559</v>
      </c>
      <c r="B2">
        <v>2</v>
      </c>
      <c r="C2" t="s">
        <v>11</v>
      </c>
      <c r="D2">
        <v>0</v>
      </c>
      <c r="E2">
        <v>7651</v>
      </c>
      <c r="F2">
        <v>10209</v>
      </c>
      <c r="G2">
        <v>10119</v>
      </c>
      <c r="H2">
        <v>896.11</v>
      </c>
      <c r="I2">
        <v>1195.71</v>
      </c>
      <c r="J2">
        <v>1185.17</v>
      </c>
      <c r="K2">
        <v>3277</v>
      </c>
      <c r="L2">
        <v>34.46</v>
      </c>
      <c r="M2">
        <v>45.99</v>
      </c>
      <c r="N2">
        <v>45.58</v>
      </c>
    </row>
    <row r="3" spans="1:14" x14ac:dyDescent="0.3">
      <c r="A3">
        <v>45559</v>
      </c>
      <c r="B3">
        <v>3</v>
      </c>
      <c r="C3" t="s">
        <v>10</v>
      </c>
      <c r="D3">
        <v>0</v>
      </c>
      <c r="E3">
        <v>8445</v>
      </c>
      <c r="F3">
        <v>8924</v>
      </c>
      <c r="G3">
        <v>9002</v>
      </c>
      <c r="H3">
        <v>989.11</v>
      </c>
      <c r="I3">
        <v>1045.21</v>
      </c>
      <c r="J3">
        <v>1054.3399999999999</v>
      </c>
      <c r="K3">
        <v>3088.66</v>
      </c>
      <c r="L3">
        <v>38.04</v>
      </c>
      <c r="M3">
        <v>40.200000000000003</v>
      </c>
      <c r="N3">
        <v>40.549999999999997</v>
      </c>
    </row>
    <row r="4" spans="1:14" x14ac:dyDescent="0.3">
      <c r="A4">
        <v>45559</v>
      </c>
      <c r="B4">
        <v>4</v>
      </c>
      <c r="C4" t="s">
        <v>10</v>
      </c>
      <c r="D4">
        <v>0</v>
      </c>
      <c r="E4">
        <v>8150</v>
      </c>
      <c r="F4">
        <v>7869</v>
      </c>
      <c r="G4">
        <v>8978</v>
      </c>
      <c r="H4">
        <v>954.56</v>
      </c>
      <c r="I4">
        <v>921.64</v>
      </c>
      <c r="J4">
        <v>1051.53</v>
      </c>
      <c r="K4">
        <v>2927.73</v>
      </c>
      <c r="L4">
        <v>36.71</v>
      </c>
      <c r="M4">
        <v>35.450000000000003</v>
      </c>
      <c r="N4">
        <v>40.44</v>
      </c>
    </row>
    <row r="5" spans="1:14" x14ac:dyDescent="0.3">
      <c r="A5">
        <v>45559</v>
      </c>
      <c r="B5">
        <v>5</v>
      </c>
      <c r="C5" t="s">
        <v>6</v>
      </c>
      <c r="D5">
        <v>0</v>
      </c>
      <c r="E5">
        <v>7753</v>
      </c>
      <c r="F5">
        <v>11021</v>
      </c>
      <c r="G5">
        <v>10324</v>
      </c>
      <c r="H5">
        <v>908.06</v>
      </c>
      <c r="I5">
        <v>1290.82</v>
      </c>
      <c r="J5">
        <v>1209.18</v>
      </c>
      <c r="K5">
        <v>3408.06</v>
      </c>
      <c r="L5">
        <v>34.92</v>
      </c>
      <c r="M5">
        <v>49.64</v>
      </c>
      <c r="N5">
        <v>46.5</v>
      </c>
    </row>
    <row r="6" spans="1:14" x14ac:dyDescent="0.3">
      <c r="A6">
        <v>45559</v>
      </c>
      <c r="B6">
        <v>6</v>
      </c>
      <c r="C6" t="s">
        <v>26</v>
      </c>
      <c r="D6">
        <v>0</v>
      </c>
      <c r="E6">
        <v>9397</v>
      </c>
      <c r="F6">
        <v>10629</v>
      </c>
      <c r="G6">
        <v>10722</v>
      </c>
      <c r="H6">
        <v>1100.6099999999999</v>
      </c>
      <c r="I6">
        <v>1244.9000000000001</v>
      </c>
      <c r="J6">
        <v>1255.8</v>
      </c>
      <c r="K6">
        <v>3601.31</v>
      </c>
      <c r="L6">
        <v>42.33</v>
      </c>
      <c r="M6">
        <v>47.88</v>
      </c>
      <c r="N6">
        <v>48.3</v>
      </c>
    </row>
    <row r="7" spans="1:14" x14ac:dyDescent="0.3">
      <c r="A7">
        <v>45559</v>
      </c>
      <c r="B7">
        <v>7</v>
      </c>
      <c r="C7" t="s">
        <v>26</v>
      </c>
      <c r="D7">
        <v>0</v>
      </c>
      <c r="E7">
        <v>12578</v>
      </c>
      <c r="F7">
        <v>9783</v>
      </c>
      <c r="G7">
        <v>8594</v>
      </c>
      <c r="H7">
        <v>1473.18</v>
      </c>
      <c r="I7">
        <v>1145.82</v>
      </c>
      <c r="J7">
        <v>1006.56</v>
      </c>
      <c r="K7">
        <v>3625.55</v>
      </c>
      <c r="L7">
        <v>56.66</v>
      </c>
      <c r="M7">
        <v>44.07</v>
      </c>
      <c r="N7">
        <v>38.71</v>
      </c>
    </row>
    <row r="8" spans="1:14" x14ac:dyDescent="0.3">
      <c r="A8">
        <v>45559</v>
      </c>
      <c r="B8">
        <v>8</v>
      </c>
      <c r="C8" t="s">
        <v>26</v>
      </c>
      <c r="D8">
        <v>0</v>
      </c>
      <c r="E8">
        <v>9818</v>
      </c>
      <c r="F8">
        <v>9301</v>
      </c>
      <c r="G8">
        <v>7982</v>
      </c>
      <c r="H8">
        <v>1149.92</v>
      </c>
      <c r="I8">
        <v>1089.3599999999999</v>
      </c>
      <c r="J8">
        <v>934.88</v>
      </c>
      <c r="K8">
        <v>3174.16</v>
      </c>
      <c r="L8">
        <v>44.23</v>
      </c>
      <c r="M8">
        <v>41.9</v>
      </c>
      <c r="N8">
        <v>35.950000000000003</v>
      </c>
    </row>
    <row r="9" spans="1:14" x14ac:dyDescent="0.3">
      <c r="A9">
        <v>45559</v>
      </c>
      <c r="B9">
        <v>9</v>
      </c>
      <c r="C9" t="s">
        <v>27</v>
      </c>
      <c r="D9">
        <v>0</v>
      </c>
      <c r="E9">
        <v>8084</v>
      </c>
      <c r="F9">
        <v>7070</v>
      </c>
      <c r="G9">
        <v>10114</v>
      </c>
      <c r="H9">
        <v>946.83</v>
      </c>
      <c r="I9">
        <v>828.06</v>
      </c>
      <c r="J9">
        <v>1184.5899999999999</v>
      </c>
      <c r="K9">
        <v>2959.47</v>
      </c>
      <c r="L9">
        <v>36.409999999999997</v>
      </c>
      <c r="M9">
        <v>31.85</v>
      </c>
      <c r="N9">
        <v>45.56</v>
      </c>
    </row>
    <row r="10" spans="1:14" x14ac:dyDescent="0.3">
      <c r="A10">
        <v>45559</v>
      </c>
      <c r="B10">
        <v>10</v>
      </c>
      <c r="C10" t="s">
        <v>27</v>
      </c>
      <c r="D10">
        <v>0</v>
      </c>
      <c r="E10">
        <v>7673</v>
      </c>
      <c r="F10">
        <v>7319</v>
      </c>
      <c r="G10">
        <v>8777</v>
      </c>
      <c r="H10">
        <v>898.69</v>
      </c>
      <c r="I10">
        <v>857.23</v>
      </c>
      <c r="J10">
        <v>1027.99</v>
      </c>
      <c r="K10">
        <v>2783.91</v>
      </c>
      <c r="L10">
        <v>34.56</v>
      </c>
      <c r="M10">
        <v>32.97</v>
      </c>
      <c r="N10">
        <v>39.54</v>
      </c>
    </row>
    <row r="11" spans="1:14" x14ac:dyDescent="0.3">
      <c r="A11">
        <v>45559</v>
      </c>
      <c r="B11">
        <v>11</v>
      </c>
      <c r="C11" t="s">
        <v>11</v>
      </c>
      <c r="D11">
        <v>0</v>
      </c>
      <c r="E11">
        <v>11358</v>
      </c>
      <c r="F11">
        <v>7365</v>
      </c>
      <c r="G11">
        <v>8925</v>
      </c>
      <c r="H11">
        <v>1330.29</v>
      </c>
      <c r="I11">
        <v>862.61</v>
      </c>
      <c r="J11">
        <v>1045.33</v>
      </c>
      <c r="K11">
        <v>3238.23</v>
      </c>
      <c r="L11">
        <v>51.16</v>
      </c>
      <c r="M11">
        <v>33.18</v>
      </c>
      <c r="N11">
        <v>40.200000000000003</v>
      </c>
    </row>
    <row r="12" spans="1:14" x14ac:dyDescent="0.3">
      <c r="A12">
        <v>45559</v>
      </c>
      <c r="B12" t="s">
        <v>23</v>
      </c>
      <c r="E12">
        <v>99434</v>
      </c>
      <c r="F12">
        <v>100622</v>
      </c>
      <c r="G12">
        <v>104075</v>
      </c>
      <c r="H12">
        <v>11646.05</v>
      </c>
      <c r="I12">
        <v>11785.19</v>
      </c>
      <c r="J12">
        <v>12189.62</v>
      </c>
      <c r="K12">
        <v>35620.86</v>
      </c>
      <c r="L12">
        <v>40.72</v>
      </c>
      <c r="M12">
        <v>41.2</v>
      </c>
      <c r="N12">
        <v>42.62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CD007E-BC3F-4A1E-AF53-D2DDE8FD7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Sheet7</vt:lpstr>
      <vt:lpstr>Sheet6</vt:lpstr>
      <vt:lpstr>Sheet5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Baizid Molla</cp:lastModifiedBy>
  <dcterms:created xsi:type="dcterms:W3CDTF">2015-06-05T18:17:20Z</dcterms:created>
  <dcterms:modified xsi:type="dcterms:W3CDTF">2024-09-25T07:57:00Z</dcterms:modified>
</cp:coreProperties>
</file>
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c5428768da686f3/Desktop/Daily Data System Analysis/"/>
    </mc:Choice>
  </mc:AlternateContent>
  <xr:revisionPtr revIDLastSave="199" documentId="13_ncr:1_{789E070C-B70B-4379-8E63-80818C83CDD8}" xr6:coauthVersionLast="47" xr6:coauthVersionMax="47" xr10:uidLastSave="{CFF3848A-5C7E-48A2-A9AA-ECA90BB7463A}"/>
  <bookViews>
    <workbookView xWindow="-108" yWindow="-108" windowWidth="23256" windowHeight="12456" tabRatio="885" activeTab="8" xr2:uid="{00000000-000D-0000-FFFF-FFFF00000000}"/>
  </bookViews>
  <sheets>
    <sheet name="Main Dashboard" sheetId="24" r:id="rId1"/>
    <sheet name="Shift-A" sheetId="3" r:id="rId2"/>
    <sheet name="Shift-B" sheetId="4" r:id="rId3"/>
    <sheet name="Shift-C" sheetId="5" r:id="rId4"/>
    <sheet name="prod" sheetId="7" r:id="rId5"/>
    <sheet name="input" sheetId="8" r:id="rId6"/>
    <sheet name="result" sheetId="9" r:id="rId7"/>
    <sheet name="Sheet6" sheetId="26" r:id="rId8"/>
    <sheet name="Horizontal" sheetId="29" r:id="rId9"/>
    <sheet name="Sheet5" sheetId="27" state="hidden" r:id="rId10"/>
  </sheets>
  <definedNames>
    <definedName name="_xlnm._FilterDatabase" localSheetId="1" hidden="1">'Shift-A'!$A$1:$Q$48</definedName>
    <definedName name="_xlnm._FilterDatabase" localSheetId="2" hidden="1">'Shift-B'!$A$1:$Q$38</definedName>
    <definedName name="_xlnm._FilterDatabase" localSheetId="3" hidden="1">'Shift-C'!$A$2:$Q$2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3" i="7" l="1"/>
  <c r="F93" i="7"/>
  <c r="E93" i="7"/>
  <c r="D93" i="7"/>
  <c r="B93" i="7"/>
  <c r="I92" i="7"/>
  <c r="L88" i="7"/>
  <c r="K88" i="7"/>
  <c r="J88" i="7"/>
  <c r="I88" i="7"/>
  <c r="G88" i="7"/>
  <c r="G87" i="7"/>
  <c r="L87" i="7" s="1"/>
  <c r="L86" i="7"/>
  <c r="K86" i="7"/>
  <c r="G86" i="7"/>
  <c r="J86" i="7" s="1"/>
  <c r="G85" i="7"/>
  <c r="L85" i="7" s="1"/>
  <c r="G84" i="7"/>
  <c r="L84" i="7" s="1"/>
  <c r="L83" i="7"/>
  <c r="K83" i="7"/>
  <c r="J83" i="7"/>
  <c r="G83" i="7"/>
  <c r="I83" i="7" s="1"/>
  <c r="G82" i="7"/>
  <c r="L82" i="7" s="1"/>
  <c r="L81" i="7"/>
  <c r="G81" i="7"/>
  <c r="K81" i="7" s="1"/>
  <c r="L80" i="7"/>
  <c r="K80" i="7"/>
  <c r="J80" i="7"/>
  <c r="I80" i="7"/>
  <c r="G80" i="7"/>
  <c r="G79" i="7"/>
  <c r="L79" i="7" s="1"/>
  <c r="L78" i="7"/>
  <c r="K78" i="7"/>
  <c r="G78" i="7"/>
  <c r="J78" i="7" s="1"/>
  <c r="G77" i="7"/>
  <c r="L77" i="7" s="1"/>
  <c r="G76" i="7"/>
  <c r="L76" i="7" s="1"/>
  <c r="G75" i="7"/>
  <c r="I75" i="7" s="1"/>
  <c r="G74" i="7"/>
  <c r="L74" i="7" s="1"/>
  <c r="G73" i="7"/>
  <c r="K73" i="7" s="1"/>
  <c r="G72" i="7"/>
  <c r="L72" i="7" s="1"/>
  <c r="G71" i="7"/>
  <c r="L71" i="7" s="1"/>
  <c r="H60" i="7"/>
  <c r="F60" i="7"/>
  <c r="E60" i="7"/>
  <c r="D60" i="7"/>
  <c r="B60" i="7"/>
  <c r="I59" i="7"/>
  <c r="I55" i="7"/>
  <c r="G55" i="7"/>
  <c r="L55" i="7" s="1"/>
  <c r="J54" i="7"/>
  <c r="G54" i="7"/>
  <c r="L54" i="7" s="1"/>
  <c r="L53" i="7"/>
  <c r="K53" i="7"/>
  <c r="J53" i="7"/>
  <c r="G53" i="7"/>
  <c r="I53" i="7" s="1"/>
  <c r="G52" i="7"/>
  <c r="L52" i="7" s="1"/>
  <c r="G51" i="7"/>
  <c r="K51" i="7" s="1"/>
  <c r="L50" i="7"/>
  <c r="K50" i="7"/>
  <c r="J50" i="7"/>
  <c r="I50" i="7"/>
  <c r="G50" i="7"/>
  <c r="G49" i="7"/>
  <c r="L49" i="7" s="1"/>
  <c r="L48" i="7"/>
  <c r="K48" i="7"/>
  <c r="G48" i="7"/>
  <c r="J48" i="7" s="1"/>
  <c r="G47" i="7"/>
  <c r="I47" i="7" s="1"/>
  <c r="G46" i="7"/>
  <c r="L46" i="7" s="1"/>
  <c r="L45" i="7"/>
  <c r="K45" i="7"/>
  <c r="J45" i="7"/>
  <c r="G45" i="7"/>
  <c r="I45" i="7" s="1"/>
  <c r="G44" i="7"/>
  <c r="L44" i="7" s="1"/>
  <c r="G43" i="7"/>
  <c r="K43" i="7" s="1"/>
  <c r="G42" i="7"/>
  <c r="L42" i="7" s="1"/>
  <c r="G41" i="7"/>
  <c r="L41" i="7" s="1"/>
  <c r="L40" i="7"/>
  <c r="K40" i="7"/>
  <c r="G40" i="7"/>
  <c r="J40" i="7" s="1"/>
  <c r="G39" i="7"/>
  <c r="J39" i="7" s="1"/>
  <c r="J38" i="7"/>
  <c r="G38" i="7"/>
  <c r="L38" i="7" s="1"/>
  <c r="G14" i="7"/>
  <c r="I14" i="7" s="1"/>
  <c r="B48" i="3"/>
  <c r="B43" i="4"/>
  <c r="B44" i="5"/>
  <c r="H29" i="24"/>
  <c r="Q37" i="3"/>
  <c r="Q38" i="3"/>
  <c r="Q39" i="3"/>
  <c r="Q40" i="3"/>
  <c r="Q2" i="3"/>
  <c r="Q35" i="3"/>
  <c r="Q36" i="3"/>
  <c r="Q34" i="4"/>
  <c r="Q35" i="4"/>
  <c r="Q36" i="4"/>
  <c r="Q37" i="4"/>
  <c r="Q30" i="5"/>
  <c r="Q31" i="5"/>
  <c r="Q32" i="5"/>
  <c r="Q33" i="5"/>
  <c r="Q34" i="5"/>
  <c r="Q35" i="5"/>
  <c r="Q36" i="5"/>
  <c r="Q37" i="5"/>
  <c r="Q38" i="5"/>
  <c r="Q39" i="5"/>
  <c r="K75" i="7" l="1"/>
  <c r="J75" i="7"/>
  <c r="L75" i="7"/>
  <c r="L73" i="7"/>
  <c r="I72" i="7"/>
  <c r="K72" i="7"/>
  <c r="J72" i="7"/>
  <c r="L93" i="7"/>
  <c r="I77" i="7"/>
  <c r="I74" i="7"/>
  <c r="J77" i="7"/>
  <c r="K77" i="7"/>
  <c r="I79" i="7"/>
  <c r="J82" i="7"/>
  <c r="K85" i="7"/>
  <c r="I87" i="7"/>
  <c r="J71" i="7"/>
  <c r="I85" i="7"/>
  <c r="G93" i="7"/>
  <c r="D97" i="7" s="1"/>
  <c r="I82" i="7"/>
  <c r="J85" i="7"/>
  <c r="I71" i="7"/>
  <c r="I93" i="7" s="1"/>
  <c r="J74" i="7"/>
  <c r="K74" i="7"/>
  <c r="I76" i="7"/>
  <c r="J79" i="7"/>
  <c r="K82" i="7"/>
  <c r="I84" i="7"/>
  <c r="J87" i="7"/>
  <c r="K71" i="7"/>
  <c r="I73" i="7"/>
  <c r="J76" i="7"/>
  <c r="K79" i="7"/>
  <c r="I81" i="7"/>
  <c r="J84" i="7"/>
  <c r="K87" i="7"/>
  <c r="J73" i="7"/>
  <c r="K76" i="7"/>
  <c r="I78" i="7"/>
  <c r="J81" i="7"/>
  <c r="K84" i="7"/>
  <c r="I86" i="7"/>
  <c r="J46" i="7"/>
  <c r="J42" i="7"/>
  <c r="I42" i="7"/>
  <c r="K42" i="7"/>
  <c r="I43" i="7"/>
  <c r="L43" i="7"/>
  <c r="J43" i="7"/>
  <c r="L51" i="7"/>
  <c r="I51" i="7"/>
  <c r="J51" i="7"/>
  <c r="I39" i="7"/>
  <c r="I44" i="7"/>
  <c r="J47" i="7"/>
  <c r="I52" i="7"/>
  <c r="J55" i="7"/>
  <c r="G60" i="7"/>
  <c r="D64" i="7" s="1"/>
  <c r="K39" i="7"/>
  <c r="I41" i="7"/>
  <c r="J44" i="7"/>
  <c r="K47" i="7"/>
  <c r="I49" i="7"/>
  <c r="J52" i="7"/>
  <c r="K55" i="7"/>
  <c r="I38" i="7"/>
  <c r="L39" i="7"/>
  <c r="L60" i="7" s="1"/>
  <c r="J41" i="7"/>
  <c r="K44" i="7"/>
  <c r="I46" i="7"/>
  <c r="L47" i="7"/>
  <c r="J49" i="7"/>
  <c r="K52" i="7"/>
  <c r="I54" i="7"/>
  <c r="K41" i="7"/>
  <c r="K49" i="7"/>
  <c r="K54" i="7"/>
  <c r="K38" i="7"/>
  <c r="I40" i="7"/>
  <c r="K46" i="7"/>
  <c r="I48" i="7"/>
  <c r="L14" i="7"/>
  <c r="K14" i="7"/>
  <c r="J14" i="7"/>
  <c r="B2" i="26"/>
  <c r="B3" i="26" s="1"/>
  <c r="F22" i="24"/>
  <c r="B2" i="29" s="1"/>
  <c r="G22" i="24"/>
  <c r="B3" i="29" s="1"/>
  <c r="H23" i="24"/>
  <c r="C4" i="29" s="1"/>
  <c r="H22" i="24"/>
  <c r="B4" i="29" s="1"/>
  <c r="H26" i="24"/>
  <c r="F4" i="29" s="1"/>
  <c r="G26" i="24"/>
  <c r="F3" i="29" s="1"/>
  <c r="F26" i="24"/>
  <c r="F2" i="29" s="1"/>
  <c r="H31" i="24"/>
  <c r="K4" i="29" s="1"/>
  <c r="G31" i="24"/>
  <c r="K3" i="29" s="1"/>
  <c r="F31" i="24"/>
  <c r="K2" i="29" s="1"/>
  <c r="H30" i="24"/>
  <c r="J4" i="29" s="1"/>
  <c r="G30" i="24"/>
  <c r="J3" i="29" s="1"/>
  <c r="F30" i="24"/>
  <c r="J2" i="29" s="1"/>
  <c r="I4" i="29"/>
  <c r="G29" i="24"/>
  <c r="I3" i="29" s="1"/>
  <c r="F29" i="24"/>
  <c r="I2" i="29" s="1"/>
  <c r="F28" i="24"/>
  <c r="H2" i="29" s="1"/>
  <c r="H27" i="24"/>
  <c r="G4" i="29" s="1"/>
  <c r="H28" i="24"/>
  <c r="H4" i="29" s="1"/>
  <c r="G28" i="24"/>
  <c r="H3" i="29" s="1"/>
  <c r="G27" i="24"/>
  <c r="G3" i="29" s="1"/>
  <c r="F27" i="24"/>
  <c r="G2" i="29" s="1"/>
  <c r="H25" i="24"/>
  <c r="E4" i="29" s="1"/>
  <c r="G25" i="24"/>
  <c r="E3" i="29" s="1"/>
  <c r="F25" i="24"/>
  <c r="E2" i="29" s="1"/>
  <c r="G23" i="24"/>
  <c r="C3" i="29" s="1"/>
  <c r="F23" i="24"/>
  <c r="C2" i="29" s="1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9" i="5"/>
  <c r="Q10" i="5"/>
  <c r="Q11" i="5"/>
  <c r="Q12" i="5"/>
  <c r="Q13" i="5"/>
  <c r="Q4" i="5"/>
  <c r="Q5" i="5"/>
  <c r="Q6" i="5"/>
  <c r="Q7" i="5"/>
  <c r="Q8" i="5"/>
  <c r="Q3" i="5"/>
  <c r="K93" i="7" l="1"/>
  <c r="J93" i="7"/>
  <c r="J60" i="7"/>
  <c r="I60" i="7"/>
  <c r="K60" i="7"/>
  <c r="F11" i="24"/>
  <c r="C54" i="24"/>
  <c r="H24" i="24"/>
  <c r="D4" i="29" s="1"/>
  <c r="F10" i="24"/>
  <c r="F19" i="24"/>
  <c r="F14" i="24"/>
  <c r="F13" i="24"/>
  <c r="F18" i="24"/>
  <c r="F16" i="24"/>
  <c r="F15" i="24"/>
  <c r="F17" i="24"/>
  <c r="L8" i="8" l="1"/>
  <c r="G40" i="9" s="1"/>
  <c r="F120" i="9"/>
  <c r="E120" i="9"/>
  <c r="D120" i="9"/>
  <c r="C120" i="9"/>
  <c r="C117" i="9"/>
  <c r="F114" i="9"/>
  <c r="E114" i="9"/>
  <c r="D114" i="9"/>
  <c r="C114" i="9"/>
  <c r="C111" i="9"/>
  <c r="F108" i="9"/>
  <c r="E108" i="9"/>
  <c r="D108" i="9"/>
  <c r="C108" i="9"/>
  <c r="C105" i="9"/>
  <c r="F103" i="9"/>
  <c r="E103" i="9"/>
  <c r="D103" i="9"/>
  <c r="C103" i="9"/>
  <c r="C100" i="9"/>
  <c r="F97" i="9"/>
  <c r="E97" i="9"/>
  <c r="D97" i="9"/>
  <c r="C97" i="9"/>
  <c r="C94" i="9"/>
  <c r="B92" i="9"/>
  <c r="G89" i="9"/>
  <c r="E89" i="9"/>
  <c r="F77" i="9"/>
  <c r="E77" i="9"/>
  <c r="D77" i="9"/>
  <c r="C77" i="9"/>
  <c r="C74" i="9"/>
  <c r="F71" i="9"/>
  <c r="E71" i="9"/>
  <c r="D71" i="9"/>
  <c r="C71" i="9"/>
  <c r="C68" i="9"/>
  <c r="F65" i="9"/>
  <c r="E65" i="9"/>
  <c r="D65" i="9"/>
  <c r="C65" i="9"/>
  <c r="C62" i="9"/>
  <c r="F60" i="9"/>
  <c r="E60" i="9"/>
  <c r="D60" i="9"/>
  <c r="C60" i="9"/>
  <c r="C57" i="9"/>
  <c r="F54" i="9"/>
  <c r="E54" i="9"/>
  <c r="D54" i="9"/>
  <c r="C54" i="9"/>
  <c r="C51" i="9"/>
  <c r="B49" i="9"/>
  <c r="G46" i="9"/>
  <c r="E46" i="9"/>
  <c r="F34" i="9"/>
  <c r="E34" i="9"/>
  <c r="D34" i="9"/>
  <c r="C34" i="9"/>
  <c r="F31" i="9"/>
  <c r="C31" i="9"/>
  <c r="F28" i="9"/>
  <c r="E28" i="9"/>
  <c r="D28" i="9"/>
  <c r="C28" i="9"/>
  <c r="F25" i="9"/>
  <c r="C25" i="9"/>
  <c r="F22" i="9"/>
  <c r="E22" i="9"/>
  <c r="D22" i="9"/>
  <c r="C22" i="9"/>
  <c r="F19" i="9"/>
  <c r="C19" i="9"/>
  <c r="F17" i="9"/>
  <c r="E17" i="9"/>
  <c r="D17" i="9"/>
  <c r="C17" i="9"/>
  <c r="F14" i="9"/>
  <c r="C14" i="9"/>
  <c r="F11" i="9"/>
  <c r="E11" i="9"/>
  <c r="D11" i="9"/>
  <c r="C11" i="9"/>
  <c r="F8" i="9"/>
  <c r="C8" i="9"/>
  <c r="B6" i="9"/>
  <c r="G3" i="9"/>
  <c r="E3" i="9"/>
  <c r="E27" i="8"/>
  <c r="D27" i="8"/>
  <c r="C27" i="8"/>
  <c r="B27" i="8"/>
  <c r="A27" i="8"/>
  <c r="E26" i="8"/>
  <c r="D26" i="8"/>
  <c r="C26" i="8"/>
  <c r="B26" i="8"/>
  <c r="A26" i="8"/>
  <c r="E25" i="8"/>
  <c r="D25" i="8"/>
  <c r="C25" i="8"/>
  <c r="B25" i="8"/>
  <c r="A25" i="8"/>
  <c r="E24" i="8"/>
  <c r="D24" i="8"/>
  <c r="C24" i="8"/>
  <c r="B24" i="8"/>
  <c r="A24" i="8"/>
  <c r="E23" i="8"/>
  <c r="D23" i="8"/>
  <c r="C23" i="8"/>
  <c r="B23" i="8"/>
  <c r="A23" i="8"/>
  <c r="E22" i="8"/>
  <c r="D22" i="8"/>
  <c r="C22" i="8"/>
  <c r="B22" i="8"/>
  <c r="A22" i="8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N9" i="8"/>
  <c r="H126" i="9" s="1"/>
  <c r="M9" i="8"/>
  <c r="H83" i="9" s="1"/>
  <c r="L9" i="8"/>
  <c r="H40" i="9" s="1"/>
  <c r="N8" i="8"/>
  <c r="G126" i="9" s="1"/>
  <c r="M8" i="8"/>
  <c r="G83" i="9" s="1"/>
  <c r="N7" i="8"/>
  <c r="F126" i="9" s="1"/>
  <c r="M7" i="8"/>
  <c r="F83" i="9" s="1"/>
  <c r="L7" i="8"/>
  <c r="F40" i="9" s="1"/>
  <c r="N5" i="8"/>
  <c r="D126" i="9" s="1"/>
  <c r="M5" i="8"/>
  <c r="D83" i="9" s="1"/>
  <c r="L5" i="8"/>
  <c r="D40" i="9" s="1"/>
  <c r="H27" i="7"/>
  <c r="F27" i="7"/>
  <c r="E27" i="7"/>
  <c r="D27" i="7"/>
  <c r="B27" i="7"/>
  <c r="I26" i="7"/>
  <c r="G22" i="7"/>
  <c r="I22" i="7" s="1"/>
  <c r="G21" i="7"/>
  <c r="J21" i="7" s="1"/>
  <c r="G20" i="7"/>
  <c r="K20" i="7" s="1"/>
  <c r="G19" i="7"/>
  <c r="L19" i="7" s="1"/>
  <c r="G18" i="7"/>
  <c r="I18" i="7" s="1"/>
  <c r="G17" i="7"/>
  <c r="J17" i="7" s="1"/>
  <c r="G16" i="7"/>
  <c r="J16" i="7" s="1"/>
  <c r="G15" i="7"/>
  <c r="L15" i="7" s="1"/>
  <c r="G13" i="7"/>
  <c r="I13" i="7" s="1"/>
  <c r="G12" i="7"/>
  <c r="I12" i="7" s="1"/>
  <c r="G11" i="7"/>
  <c r="K11" i="7" s="1"/>
  <c r="G10" i="7"/>
  <c r="I10" i="7" s="1"/>
  <c r="G9" i="7"/>
  <c r="L9" i="7" s="1"/>
  <c r="G8" i="7"/>
  <c r="J8" i="7" s="1"/>
  <c r="G7" i="7"/>
  <c r="G6" i="7"/>
  <c r="L6" i="7" s="1"/>
  <c r="G5" i="7"/>
  <c r="I5" i="7" s="1"/>
  <c r="G27" i="7" l="1"/>
  <c r="M3" i="8"/>
  <c r="B83" i="9" s="1"/>
  <c r="J13" i="7"/>
  <c r="K13" i="7"/>
  <c r="L13" i="7"/>
  <c r="J10" i="7"/>
  <c r="K10" i="7"/>
  <c r="L10" i="7"/>
  <c r="K17" i="7"/>
  <c r="L17" i="7"/>
  <c r="I8" i="7"/>
  <c r="L20" i="7"/>
  <c r="J5" i="7"/>
  <c r="J11" i="7"/>
  <c r="K5" i="7"/>
  <c r="I16" i="7"/>
  <c r="J22" i="7"/>
  <c r="L5" i="7"/>
  <c r="K19" i="7"/>
  <c r="K22" i="7"/>
  <c r="J20" i="7"/>
  <c r="K8" i="7"/>
  <c r="L8" i="7"/>
  <c r="I19" i="7"/>
  <c r="L11" i="7"/>
  <c r="J19" i="7"/>
  <c r="I17" i="7"/>
  <c r="L22" i="7"/>
  <c r="I21" i="7"/>
  <c r="I9" i="7"/>
  <c r="J12" i="7"/>
  <c r="K16" i="7"/>
  <c r="I6" i="7"/>
  <c r="L7" i="7"/>
  <c r="J9" i="7"/>
  <c r="K12" i="7"/>
  <c r="I15" i="7"/>
  <c r="L16" i="7"/>
  <c r="J18" i="7"/>
  <c r="K21" i="7"/>
  <c r="J6" i="7"/>
  <c r="K9" i="7"/>
  <c r="I11" i="7"/>
  <c r="L12" i="7"/>
  <c r="J15" i="7"/>
  <c r="K18" i="7"/>
  <c r="I20" i="7"/>
  <c r="L21" i="7"/>
  <c r="I7" i="7"/>
  <c r="K7" i="7"/>
  <c r="K6" i="7"/>
  <c r="L18" i="7"/>
  <c r="J7" i="7"/>
  <c r="K15" i="7"/>
  <c r="D31" i="7" l="1"/>
  <c r="L6" i="8" s="1"/>
  <c r="E40" i="9" s="1"/>
  <c r="N4" i="8"/>
  <c r="C126" i="9" s="1"/>
  <c r="M4" i="8"/>
  <c r="C83" i="9" s="1"/>
  <c r="M6" i="8"/>
  <c r="E83" i="9" s="1"/>
  <c r="I27" i="7"/>
  <c r="K27" i="7"/>
  <c r="L3" i="8"/>
  <c r="B40" i="9" s="1"/>
  <c r="J27" i="7"/>
  <c r="L4" i="8" s="1"/>
  <c r="C40" i="9" s="1"/>
  <c r="L27" i="7"/>
  <c r="N3" i="8"/>
  <c r="B126" i="9" s="1"/>
  <c r="N6" i="8"/>
  <c r="E126" i="9" s="1"/>
  <c r="R3" i="5" l="1"/>
  <c r="Q34" i="3"/>
  <c r="Q33" i="3"/>
  <c r="Q32" i="3"/>
  <c r="Q31" i="3"/>
  <c r="Q30" i="3"/>
  <c r="Q33" i="4" l="1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F24" i="24" l="1"/>
  <c r="D2" i="29" s="1"/>
  <c r="G24" i="24"/>
  <c r="D3" i="29" s="1"/>
  <c r="F12" i="24" l="1"/>
</calcChain>
</file>

<file path=xl/sharedStrings.xml><?xml version="1.0" encoding="utf-8"?>
<sst xmlns="http://schemas.openxmlformats.org/spreadsheetml/2006/main" count="547" uniqueCount="155">
  <si>
    <t>M/c No.</t>
  </si>
  <si>
    <t>Count and Material</t>
  </si>
  <si>
    <t>AEF %</t>
  </si>
  <si>
    <t>stop %</t>
  </si>
  <si>
    <t>min/doff</t>
  </si>
  <si>
    <t>eb/100sh</t>
  </si>
  <si>
    <t>doffs</t>
  </si>
  <si>
    <t>eb total</t>
  </si>
  <si>
    <t>m/min</t>
  </si>
  <si>
    <t>8.0 lbs-8/1 Lbs IG</t>
  </si>
  <si>
    <t>10.0 lbs-10/1 lbs CRT</t>
  </si>
  <si>
    <t>7.7 lbs-7.7/1 CRT</t>
  </si>
  <si>
    <t>7.0 lbs-7.7/1 lbs CRT</t>
  </si>
  <si>
    <t>8.25 lbs-8.25/1 lbs HES</t>
  </si>
  <si>
    <t>S/L</t>
  </si>
  <si>
    <t>R/A</t>
  </si>
  <si>
    <t>Total Running Frame</t>
  </si>
  <si>
    <t>Avg. Count</t>
  </si>
  <si>
    <t>Achieved production (kg)</t>
  </si>
  <si>
    <t>Total Doffing Detected</t>
  </si>
  <si>
    <t>Actual Count</t>
  </si>
  <si>
    <t>util %</t>
  </si>
  <si>
    <t>% loss idle</t>
  </si>
  <si>
    <t>Doffing %</t>
  </si>
  <si>
    <t>eb idle</t>
  </si>
  <si>
    <t>Stop %</t>
  </si>
  <si>
    <t>spndl Down Time %</t>
  </si>
  <si>
    <t>Shift</t>
  </si>
  <si>
    <t>B</t>
  </si>
  <si>
    <t>R/B</t>
  </si>
  <si>
    <t>Avg. Efficiency %</t>
  </si>
  <si>
    <t>C</t>
  </si>
  <si>
    <t>R/C</t>
  </si>
  <si>
    <t>Eb/100 Spindle Hour</t>
  </si>
  <si>
    <t>Avg Minutes Per Doff</t>
  </si>
  <si>
    <t>Total End breakages</t>
  </si>
  <si>
    <t>kg</t>
  </si>
  <si>
    <t>Particular</t>
  </si>
  <si>
    <t>Date</t>
  </si>
  <si>
    <t>9.0 lbs-9/1 CRT</t>
  </si>
  <si>
    <t>14.0 lbs-14/1 H</t>
  </si>
  <si>
    <t>JANATA JUTE MILLS LIMITED</t>
  </si>
  <si>
    <t>Dobra, Boalmari, Faridpur</t>
  </si>
  <si>
    <t>A</t>
  </si>
  <si>
    <t>Count</t>
  </si>
  <si>
    <t>Nominal Count</t>
  </si>
  <si>
    <t>Frame</t>
  </si>
  <si>
    <t>RPM</t>
  </si>
  <si>
    <t>TPI</t>
  </si>
  <si>
    <t>Theoretical Production</t>
  </si>
  <si>
    <t>Actual Production</t>
  </si>
  <si>
    <t>Efficiency%</t>
  </si>
  <si>
    <t>6/1 IG</t>
  </si>
  <si>
    <t>6/2 H</t>
  </si>
  <si>
    <t>7/1 W</t>
  </si>
  <si>
    <t>7.25/1 W</t>
  </si>
  <si>
    <t>7.7/1 IG</t>
  </si>
  <si>
    <t>8/1 IG</t>
  </si>
  <si>
    <t>8/2 CRX</t>
  </si>
  <si>
    <t>8.25/1 W</t>
  </si>
  <si>
    <t>9/1 VOT</t>
  </si>
  <si>
    <t>9/1 vot</t>
  </si>
  <si>
    <t>11/1 h</t>
  </si>
  <si>
    <t>12/1 CRT</t>
  </si>
  <si>
    <t>13/1 CRT</t>
  </si>
  <si>
    <t>14/2 H</t>
  </si>
  <si>
    <t>10/1 W</t>
  </si>
  <si>
    <t>10.5/1 IG</t>
  </si>
  <si>
    <t>14/1 O</t>
  </si>
  <si>
    <t>Production</t>
  </si>
  <si>
    <t>Summery</t>
  </si>
  <si>
    <t>Theoretical prod. (kg)</t>
  </si>
  <si>
    <t>Sarder</t>
  </si>
  <si>
    <t>Alamin</t>
  </si>
  <si>
    <t>Shohidul</t>
  </si>
  <si>
    <t>Sujon</t>
  </si>
  <si>
    <t>Prod. in 80% eff. (kg)</t>
  </si>
  <si>
    <t>Line-man</t>
  </si>
  <si>
    <t>Actual Prod. (kg)</t>
  </si>
  <si>
    <t>(01-08)</t>
  </si>
  <si>
    <t>Akash</t>
  </si>
  <si>
    <t>Emdadul</t>
  </si>
  <si>
    <t>Efficiency (%)</t>
  </si>
  <si>
    <t>(09-16)</t>
  </si>
  <si>
    <t>Torikul</t>
  </si>
  <si>
    <t>mamun</t>
  </si>
  <si>
    <t>Stop%</t>
  </si>
  <si>
    <t>(17-24)</t>
  </si>
  <si>
    <t>Tamim</t>
  </si>
  <si>
    <t>Farhad</t>
  </si>
  <si>
    <t>Sabbir</t>
  </si>
  <si>
    <t>min/Doff</t>
  </si>
  <si>
    <t>(25-32)</t>
  </si>
  <si>
    <t>Rabbani</t>
  </si>
  <si>
    <t>nayon</t>
  </si>
  <si>
    <t>Doff</t>
  </si>
  <si>
    <t>(33-44)</t>
  </si>
  <si>
    <t>Riazul</t>
  </si>
  <si>
    <t>shihab</t>
  </si>
  <si>
    <t>date</t>
  </si>
  <si>
    <t>shift</t>
  </si>
  <si>
    <t>line-man</t>
  </si>
  <si>
    <t>AEF%</t>
  </si>
  <si>
    <t>Min/doff</t>
  </si>
  <si>
    <t>doff</t>
  </si>
  <si>
    <t>Mill no:</t>
  </si>
  <si>
    <t>2/B</t>
  </si>
  <si>
    <t>Shift:</t>
  </si>
  <si>
    <t>Date:</t>
  </si>
  <si>
    <t>Sardar:</t>
  </si>
  <si>
    <t>Line-man:</t>
  </si>
  <si>
    <t>M/C no.-</t>
  </si>
  <si>
    <t>Summery:</t>
  </si>
  <si>
    <t>Theoretical Production (kg)</t>
  </si>
  <si>
    <t>80% eff. Production (kg)</t>
  </si>
  <si>
    <t>Actual Production (kg)</t>
  </si>
  <si>
    <t xml:space="preserve">    Doff</t>
  </si>
  <si>
    <t>Row Labels</t>
  </si>
  <si>
    <t>Grand Total</t>
  </si>
  <si>
    <t>Alauddin</t>
  </si>
  <si>
    <t>Sajib</t>
  </si>
  <si>
    <t>Count of Actual Count</t>
  </si>
  <si>
    <t>7.25 lbs-7.25 /1 lbs CRT</t>
  </si>
  <si>
    <t>6.0 lbs-6/1 lbs CRX</t>
  </si>
  <si>
    <t>Loss Idle %</t>
  </si>
  <si>
    <t>Utilization</t>
  </si>
  <si>
    <t>Percentage</t>
  </si>
  <si>
    <t>Criteria</t>
  </si>
  <si>
    <t>Remainder</t>
  </si>
  <si>
    <t>Spindle Downtime</t>
  </si>
  <si>
    <t>Efficiency</t>
  </si>
  <si>
    <t>21/09</t>
  </si>
  <si>
    <t>Average of AEF %</t>
  </si>
  <si>
    <t>Average of stop %</t>
  </si>
  <si>
    <t>Sum of doffs</t>
  </si>
  <si>
    <t>13.0 lbs-13/1 lbs CRT</t>
  </si>
  <si>
    <t>7.0 lbs-7/1 W</t>
  </si>
  <si>
    <t>6.25 lbs-6.25/ lbs HG</t>
  </si>
  <si>
    <t>30/09</t>
  </si>
  <si>
    <t>01/10</t>
  </si>
  <si>
    <t>02/10</t>
  </si>
  <si>
    <t>03/10</t>
  </si>
  <si>
    <t>04/10</t>
  </si>
  <si>
    <t>9.6 lbs-9.6/2 lbs CRX</t>
  </si>
  <si>
    <t>05/10</t>
  </si>
  <si>
    <t>06/10</t>
  </si>
  <si>
    <t>07/10</t>
  </si>
  <si>
    <t>08/10</t>
  </si>
  <si>
    <t>09/10</t>
  </si>
  <si>
    <t>8-Oct-2024</t>
  </si>
  <si>
    <t>9-Oct-20242</t>
  </si>
  <si>
    <t>10-Oct-2024</t>
  </si>
  <si>
    <t>8.25 lbs-8.25/1 W</t>
  </si>
  <si>
    <t>10/10</t>
  </si>
  <si>
    <t>8.5/1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</si>
</sst>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-409]d\-mmm\-yyyy;@"/>
    <numFmt numFmtId="167" formatCode="[$-14809]d/m/yyyy;@"/>
    <numFmt numFmtId="168" formatCode="m/d;@"/>
    <numFmt numFmtId="169" formatCode="[$-409]d\-mmm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2"/>
      <color theme="0" tint="-4.9989318521683403E-2"/>
      <name val="Times New Roman"/>
      <family val="1"/>
    </font>
    <font>
      <sz val="8"/>
      <name val="Calibri"/>
      <family val="2"/>
      <scheme val="minor"/>
    </font>
    <font>
      <sz val="12"/>
      <color theme="8" tint="-0.49998474074526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3DFEF"/>
        <bgColor indexed="64"/>
      </patternFill>
    </fill>
    <fill>
      <patternFill patternType="solid">
        <fgColor rgb="FFF2F0F5"/>
        <bgColor indexed="64"/>
      </patternFill>
    </fill>
    <fill>
      <patternFill patternType="solid">
        <fgColor rgb="FF79439B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rgb="FF79439B"/>
        </stop>
        <stop position="1">
          <color theme="3" tint="0.40000610370189521"/>
        </stop>
      </gradient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10" borderId="7">
      <alignment horizontal="left" shrinkToFit="1"/>
    </xf>
  </cellStyleXfs>
  <cellXfs count="1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0" fillId="2" borderId="0" xfId="0" applyFill="1"/>
    <xf numFmtId="0" fontId="2" fillId="2" borderId="0" xfId="0" applyFont="1" applyFill="1"/>
    <xf numFmtId="0" fontId="2" fillId="2" borderId="2" xfId="0" applyFont="1" applyFill="1" applyBorder="1"/>
    <xf numFmtId="0" fontId="0" fillId="0" borderId="2" xfId="0" applyBorder="1"/>
    <xf numFmtId="9" fontId="2" fillId="0" borderId="1" xfId="0" applyNumberFormat="1" applyFont="1" applyBorder="1"/>
    <xf numFmtId="16" fontId="0" fillId="0" borderId="1" xfId="0" applyNumberFormat="1" applyBorder="1"/>
    <xf numFmtId="0" fontId="0" fillId="4" borderId="1" xfId="0" applyFill="1" applyBorder="1"/>
    <xf numFmtId="9" fontId="0" fillId="0" borderId="1" xfId="2" applyFont="1" applyBorder="1"/>
    <xf numFmtId="0" fontId="8" fillId="0" borderId="0" xfId="0" applyFont="1"/>
    <xf numFmtId="14" fontId="8" fillId="0" borderId="0" xfId="0" applyNumberFormat="1" applyFont="1"/>
    <xf numFmtId="167" fontId="8" fillId="3" borderId="13" xfId="0" applyNumberFormat="1" applyFont="1" applyFill="1" applyBorder="1"/>
    <xf numFmtId="167" fontId="8" fillId="3" borderId="14" xfId="0" applyNumberFormat="1" applyFont="1" applyFill="1" applyBorder="1"/>
    <xf numFmtId="0" fontId="8" fillId="0" borderId="8" xfId="0" applyFont="1" applyBorder="1"/>
    <xf numFmtId="0" fontId="8" fillId="5" borderId="9" xfId="0" applyFont="1" applyFill="1" applyBorder="1"/>
    <xf numFmtId="0" fontId="8" fillId="6" borderId="9" xfId="0" applyFont="1" applyFill="1" applyBorder="1"/>
    <xf numFmtId="0" fontId="8" fillId="7" borderId="10" xfId="0" applyFont="1" applyFill="1" applyBorder="1"/>
    <xf numFmtId="0" fontId="8" fillId="0" borderId="15" xfId="0" applyFont="1" applyBorder="1"/>
    <xf numFmtId="0" fontId="8" fillId="5" borderId="11" xfId="0" applyFont="1" applyFill="1" applyBorder="1"/>
    <xf numFmtId="0" fontId="8" fillId="0" borderId="3" xfId="0" applyFont="1" applyBorder="1"/>
    <xf numFmtId="1" fontId="8" fillId="5" borderId="1" xfId="0" applyNumberFormat="1" applyFont="1" applyFill="1" applyBorder="1"/>
    <xf numFmtId="1" fontId="8" fillId="6" borderId="1" xfId="0" applyNumberFormat="1" applyFont="1" applyFill="1" applyBorder="1"/>
    <xf numFmtId="1" fontId="8" fillId="7" borderId="4" xfId="0" applyNumberFormat="1" applyFont="1" applyFill="1" applyBorder="1"/>
    <xf numFmtId="0" fontId="8" fillId="0" borderId="5" xfId="0" applyFont="1" applyBorder="1"/>
    <xf numFmtId="0" fontId="8" fillId="5" borderId="12" xfId="0" applyFont="1" applyFill="1" applyBorder="1"/>
    <xf numFmtId="0" fontId="8" fillId="6" borderId="12" xfId="0" applyFont="1" applyFill="1" applyBorder="1"/>
    <xf numFmtId="0" fontId="8" fillId="7" borderId="6" xfId="0" applyFont="1" applyFill="1" applyBorder="1"/>
    <xf numFmtId="49" fontId="8" fillId="0" borderId="8" xfId="0" applyNumberFormat="1" applyFont="1" applyBorder="1"/>
    <xf numFmtId="9" fontId="8" fillId="5" borderId="1" xfId="2" applyFont="1" applyFill="1" applyBorder="1"/>
    <xf numFmtId="9" fontId="8" fillId="6" borderId="1" xfId="2" applyFont="1" applyFill="1" applyBorder="1"/>
    <xf numFmtId="9" fontId="8" fillId="7" borderId="4" xfId="2" applyFont="1" applyFill="1" applyBorder="1"/>
    <xf numFmtId="49" fontId="8" fillId="0" borderId="3" xfId="0" applyNumberFormat="1" applyFont="1" applyBorder="1"/>
    <xf numFmtId="0" fontId="8" fillId="5" borderId="1" xfId="0" applyFont="1" applyFill="1" applyBorder="1"/>
    <xf numFmtId="0" fontId="8" fillId="6" borderId="1" xfId="0" applyFont="1" applyFill="1" applyBorder="1"/>
    <xf numFmtId="0" fontId="8" fillId="7" borderId="4" xfId="0" applyFont="1" applyFill="1" applyBorder="1"/>
    <xf numFmtId="2" fontId="8" fillId="5" borderId="1" xfId="0" applyNumberFormat="1" applyFont="1" applyFill="1" applyBorder="1"/>
    <xf numFmtId="2" fontId="8" fillId="6" borderId="1" xfId="0" applyNumberFormat="1" applyFont="1" applyFill="1" applyBorder="1"/>
    <xf numFmtId="2" fontId="8" fillId="7" borderId="4" xfId="0" applyNumberFormat="1" applyFont="1" applyFill="1" applyBorder="1"/>
    <xf numFmtId="2" fontId="8" fillId="5" borderId="12" xfId="0" applyNumberFormat="1" applyFont="1" applyFill="1" applyBorder="1"/>
    <xf numFmtId="2" fontId="8" fillId="6" borderId="12" xfId="0" applyNumberFormat="1" applyFont="1" applyFill="1" applyBorder="1"/>
    <xf numFmtId="2" fontId="8" fillId="7" borderId="6" xfId="0" applyNumberFormat="1" applyFont="1" applyFill="1" applyBorder="1"/>
    <xf numFmtId="49" fontId="8" fillId="0" borderId="5" xfId="0" applyNumberFormat="1" applyFont="1" applyBorder="1"/>
    <xf numFmtId="0" fontId="8" fillId="3" borderId="1" xfId="0" applyFont="1" applyFill="1" applyBorder="1"/>
    <xf numFmtId="49" fontId="8" fillId="5" borderId="0" xfId="0" applyNumberFormat="1" applyFont="1" applyFill="1"/>
    <xf numFmtId="14" fontId="8" fillId="5" borderId="0" xfId="0" applyNumberFormat="1" applyFont="1" applyFill="1"/>
    <xf numFmtId="0" fontId="8" fillId="5" borderId="0" xfId="0" applyFont="1" applyFill="1"/>
    <xf numFmtId="49" fontId="8" fillId="6" borderId="0" xfId="0" applyNumberFormat="1" applyFont="1" applyFill="1"/>
    <xf numFmtId="14" fontId="8" fillId="6" borderId="0" xfId="0" applyNumberFormat="1" applyFont="1" applyFill="1"/>
    <xf numFmtId="0" fontId="8" fillId="6" borderId="0" xfId="0" applyFont="1" applyFill="1"/>
    <xf numFmtId="49" fontId="8" fillId="7" borderId="0" xfId="0" applyNumberFormat="1" applyFont="1" applyFill="1"/>
    <xf numFmtId="14" fontId="8" fillId="7" borderId="0" xfId="0" applyNumberFormat="1" applyFont="1" applyFill="1"/>
    <xf numFmtId="0" fontId="8" fillId="7" borderId="0" xfId="0" applyFont="1" applyFill="1"/>
    <xf numFmtId="2" fontId="8" fillId="7" borderId="1" xfId="0" applyNumberFormat="1" applyFont="1" applyFill="1" applyBorder="1"/>
    <xf numFmtId="0" fontId="9" fillId="0" borderId="0" xfId="0" applyFont="1"/>
    <xf numFmtId="0" fontId="9" fillId="0" borderId="0" xfId="0" applyFont="1" applyAlignment="1">
      <alignment horizontal="right"/>
    </xf>
    <xf numFmtId="167" fontId="6" fillId="0" borderId="0" xfId="0" applyNumberFormat="1" applyFont="1" applyAlignment="1">
      <alignment horizontal="left" vertical="center"/>
    </xf>
    <xf numFmtId="0" fontId="4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49" fontId="5" fillId="0" borderId="0" xfId="0" applyNumberFormat="1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0" xfId="0" applyFont="1"/>
    <xf numFmtId="1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0" fontId="3" fillId="8" borderId="16" xfId="0" applyFont="1" applyFill="1" applyBorder="1"/>
    <xf numFmtId="0" fontId="3" fillId="8" borderId="0" xfId="0" applyFont="1" applyFill="1"/>
    <xf numFmtId="9" fontId="0" fillId="0" borderId="0" xfId="2" applyFont="1"/>
    <xf numFmtId="9" fontId="0" fillId="0" borderId="0" xfId="0" applyNumberFormat="1"/>
    <xf numFmtId="168" fontId="0" fillId="0" borderId="0" xfId="0" applyNumberFormat="1"/>
    <xf numFmtId="168" fontId="0" fillId="0" borderId="17" xfId="0" applyNumberFormat="1" applyBorder="1"/>
    <xf numFmtId="9" fontId="0" fillId="0" borderId="18" xfId="2" applyFont="1" applyBorder="1"/>
    <xf numFmtId="0" fontId="13" fillId="9" borderId="0" xfId="0" applyFont="1" applyFill="1" applyAlignment="1">
      <alignment horizontal="left" vertical="center"/>
    </xf>
    <xf numFmtId="164" fontId="13" fillId="9" borderId="0" xfId="1" applyNumberFormat="1" applyFont="1" applyFill="1" applyBorder="1" applyAlignment="1">
      <alignment horizontal="center" vertical="center"/>
    </xf>
    <xf numFmtId="9" fontId="13" fillId="9" borderId="0" xfId="2" applyFont="1" applyFill="1" applyBorder="1" applyAlignment="1">
      <alignment horizontal="right" vertical="center"/>
    </xf>
    <xf numFmtId="2" fontId="13" fillId="9" borderId="0" xfId="2" applyNumberFormat="1" applyFont="1" applyFill="1" applyBorder="1" applyAlignment="1">
      <alignment horizontal="right" vertical="center"/>
    </xf>
    <xf numFmtId="164" fontId="13" fillId="9" borderId="0" xfId="1" applyNumberFormat="1" applyFont="1" applyFill="1" applyBorder="1" applyAlignment="1">
      <alignment horizontal="right" vertical="center"/>
    </xf>
    <xf numFmtId="43" fontId="13" fillId="9" borderId="0" xfId="1" applyFont="1" applyFill="1" applyBorder="1" applyAlignment="1">
      <alignment horizontal="center" vertical="center"/>
    </xf>
    <xf numFmtId="165" fontId="13" fillId="9" borderId="0" xfId="1" applyNumberFormat="1" applyFont="1" applyFill="1" applyBorder="1" applyAlignment="1">
      <alignment horizontal="center" vertical="center"/>
    </xf>
    <xf numFmtId="0" fontId="13" fillId="9" borderId="0" xfId="2" applyNumberFormat="1" applyFont="1" applyFill="1" applyBorder="1" applyAlignment="1">
      <alignment horizontal="right" vertical="center"/>
    </xf>
    <xf numFmtId="169" fontId="0" fillId="0" borderId="0" xfId="0" applyNumberFormat="1"/>
    <xf numFmtId="2" fontId="13" fillId="9" borderId="0" xfId="1" applyNumberFormat="1" applyFont="1" applyFill="1" applyBorder="1" applyAlignment="1">
      <alignment horizontal="right" vertical="center"/>
    </xf>
    <xf numFmtId="164" fontId="13" fillId="9" borderId="0" xfId="1" applyNumberFormat="1" applyFont="1" applyFill="1" applyBorder="1" applyAlignment="1">
      <alignment vertical="center"/>
    </xf>
    <xf numFmtId="0" fontId="0" fillId="11" borderId="0" xfId="0" applyFill="1"/>
    <xf numFmtId="9" fontId="0" fillId="11" borderId="0" xfId="0" applyNumberFormat="1" applyFill="1"/>
    <xf numFmtId="0" fontId="8" fillId="11" borderId="0" xfId="0" applyFont="1" applyFill="1"/>
    <xf numFmtId="0" fontId="10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/>
    </xf>
    <xf numFmtId="166" fontId="11" fillId="1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Style 1" xfId="3" xr:uid="{BD101E99-79FB-411C-9783-B19AA53DC22B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9" formatCode="[$-409]d\-m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fill>
        <patternFill patternType="solid">
          <fgColor indexed="64"/>
          <bgColor rgb="FFF2F0F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Times New Roman"/>
        <family val="1"/>
        <scheme val="none"/>
      </font>
      <fill>
        <gradientFill degree="90">
          <stop position="0">
            <color rgb="FF79439B"/>
          </stop>
          <stop position="1">
            <color theme="3" tint="0.40000610370189521"/>
          </stop>
        </gradient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4" formatCode="_(* #,##0_);_(* \(#,##0\);_(* &quot;-&quot;??_);_(@_)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fill>
        <patternFill patternType="solid">
          <fgColor indexed="64"/>
          <bgColor rgb="FFF2F0F5"/>
        </patternFill>
      </fill>
      <alignment horizontal="left" vertical="center" textRotation="0" wrapText="0" indent="0" justifyLastLine="0" shrinkToFit="0" readingOrder="0"/>
    </dxf>
    <dxf>
      <numFmt numFmtId="166" formatCode="[$-409]d\-mmm\-yyyy;@"/>
      <fill>
        <patternFill patternType="solid">
          <fgColor indexed="64"/>
          <bgColor rgb="FFE3DFE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Times New Roman"/>
        <family val="1"/>
        <scheme val="none"/>
      </font>
      <numFmt numFmtId="166" formatCode="[$-409]d\-mmm\-yyyy;@"/>
      <fill>
        <patternFill patternType="solid">
          <fgColor indexed="64"/>
          <bgColor rgb="FFF2F0F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Times New Roman"/>
        <family val="1"/>
        <scheme val="none"/>
      </font>
      <numFmt numFmtId="166" formatCode="[$-409]d\-mmm\-yyyy;@"/>
      <fill>
        <gradientFill degree="90">
          <stop position="0">
            <color rgb="FF79439B"/>
          </stop>
          <stop position="1">
            <color theme="3" tint="0.40000610370189521"/>
          </stop>
        </gradient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PivotTable Style 1" table="0" count="0" xr9:uid="{3AB02012-AE4F-4497-95AF-7174D85AE788}"/>
  </tableStyles>
  <colors>
    <mruColors>
      <color rgb="FFF3DFEF"/>
      <color rgb="FFE6DEE5"/>
      <color rgb="FFE3DFEF"/>
      <color rgb="FF8F5FB2"/>
      <color rgb="FFB38EC9"/>
      <color rgb="FF003366"/>
      <color rgb="FFF2F0F5"/>
      <color rgb="FF79439B"/>
      <color rgb="FF9B6AB8"/>
      <color rgb="FFA28C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28571428571431"/>
          <c:y val="8.771929824561403E-2"/>
          <c:w val="0.70285714285714274"/>
          <c:h val="0.8621553884711779"/>
        </c:manualLayout>
      </c:layout>
      <c:doughnutChart>
        <c:varyColors val="1"/>
        <c:ser>
          <c:idx val="0"/>
          <c:order val="0"/>
          <c:spPr>
            <a:solidFill>
              <a:srgbClr val="79439B"/>
            </a:solidFill>
          </c:spPr>
          <c:dPt>
            <c:idx val="0"/>
            <c:bubble3D val="0"/>
            <c:spPr>
              <a:solidFill>
                <a:srgbClr val="7943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C8-419C-8781-7663B2D9CED3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C8-419C-8781-7663B2D9CED3}"/>
              </c:ext>
            </c:extLst>
          </c:dPt>
          <c:val>
            <c:numRef>
              <c:f>Sheet6!$B$2:$B$3</c:f>
              <c:numCache>
                <c:formatCode>0%</c:formatCode>
                <c:ptCount val="2"/>
                <c:pt idx="0">
                  <c:v>0.89395398230088507</c:v>
                </c:pt>
                <c:pt idx="1">
                  <c:v>0.10604601769911493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C8-419C-8781-7663B2D9C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073441686572384E-2"/>
          <c:y val="1.7648801964270596E-2"/>
          <c:w val="0.93372075473379423"/>
          <c:h val="0.791188983372206"/>
        </c:manualLayout>
      </c:layout>
      <c:lineChart>
        <c:grouping val="standard"/>
        <c:varyColors val="0"/>
        <c:ser>
          <c:idx val="0"/>
          <c:order val="0"/>
          <c:tx>
            <c:strRef>
              <c:f>Sheet6!$B$23</c:f>
              <c:strCache>
                <c:ptCount val="1"/>
                <c:pt idx="0">
                  <c:v>Efficiency</c:v>
                </c:pt>
              </c:strCache>
            </c:strRef>
          </c:tx>
          <c:spPr>
            <a:ln w="34925" cap="rnd">
              <a:gradFill flip="none" rotWithShape="1">
                <a:gsLst>
                  <a:gs pos="24000">
                    <a:srgbClr val="79439B"/>
                  </a:gs>
                  <a:gs pos="88000">
                    <a:srgbClr val="B38EC9"/>
                  </a:gs>
                  <a:gs pos="45000">
                    <a:srgbClr val="79439B"/>
                  </a:gs>
                  <a:gs pos="76000">
                    <a:srgbClr val="79439B"/>
                  </a:gs>
                  <a:gs pos="9000">
                    <a:srgbClr val="B38EC9"/>
                  </a:gs>
                  <a:gs pos="0">
                    <a:srgbClr val="F3DFEF"/>
                  </a:gs>
                  <a:gs pos="96000">
                    <a:srgbClr val="F3DFEF"/>
                  </a:gs>
                </a:gsLst>
                <a:lin ang="10800000" scaled="1"/>
                <a:tileRect/>
              </a:gra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Sheet6!$A$24:$A$35</c:f>
              <c:strCache>
                <c:ptCount val="11"/>
                <c:pt idx="0">
                  <c:v>30/09</c:v>
                </c:pt>
                <c:pt idx="1">
                  <c:v>01/10</c:v>
                </c:pt>
                <c:pt idx="2">
                  <c:v>02/10</c:v>
                </c:pt>
                <c:pt idx="3">
                  <c:v>03/10</c:v>
                </c:pt>
                <c:pt idx="4">
                  <c:v>04/10</c:v>
                </c:pt>
                <c:pt idx="5">
                  <c:v>05/10</c:v>
                </c:pt>
                <c:pt idx="6">
                  <c:v>06/10</c:v>
                </c:pt>
                <c:pt idx="7">
                  <c:v>07/10</c:v>
                </c:pt>
                <c:pt idx="8">
                  <c:v>08/10</c:v>
                </c:pt>
                <c:pt idx="9">
                  <c:v>09/10</c:v>
                </c:pt>
                <c:pt idx="10">
                  <c:v>10/10</c:v>
                </c:pt>
              </c:strCache>
            </c:strRef>
          </c:cat>
          <c:val>
            <c:numRef>
              <c:f>Sheet6!$B$24:$B$35</c:f>
              <c:numCache>
                <c:formatCode>0%</c:formatCode>
                <c:ptCount val="11"/>
                <c:pt idx="0">
                  <c:v>0.7</c:v>
                </c:pt>
                <c:pt idx="1">
                  <c:v>0.7</c:v>
                </c:pt>
                <c:pt idx="2">
                  <c:v>0.72</c:v>
                </c:pt>
                <c:pt idx="3">
                  <c:v>0.7</c:v>
                </c:pt>
                <c:pt idx="4">
                  <c:v>0.64</c:v>
                </c:pt>
                <c:pt idx="5">
                  <c:v>0.7</c:v>
                </c:pt>
                <c:pt idx="6">
                  <c:v>0.68</c:v>
                </c:pt>
                <c:pt idx="7">
                  <c:v>0.67</c:v>
                </c:pt>
                <c:pt idx="8">
                  <c:v>0.71</c:v>
                </c:pt>
                <c:pt idx="9">
                  <c:v>0.72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E-49F3-A093-5A22F38873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12572687"/>
        <c:axId val="1012557327"/>
      </c:lineChart>
      <c:catAx>
        <c:axId val="101257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57327"/>
        <c:crosses val="autoZero"/>
        <c:auto val="1"/>
        <c:lblAlgn val="ctr"/>
        <c:lblOffset val="100"/>
        <c:noMultiLvlLbl val="0"/>
      </c:catAx>
      <c:valAx>
        <c:axId val="1012557327"/>
        <c:scaling>
          <c:orientation val="minMax"/>
          <c:min val="0.65000000000000013"/>
        </c:scaling>
        <c:delete val="1"/>
        <c:axPos val="l"/>
        <c:numFmt formatCode="0%" sourceLinked="1"/>
        <c:majorTickMark val="none"/>
        <c:minorTickMark val="none"/>
        <c:tickLblPos val="nextTo"/>
        <c:crossAx val="101257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5">
                    <a:lumMod val="50000"/>
                  </a:schemeClr>
                </a:solidFill>
              </a:rPr>
              <a:t>% Loss</a:t>
            </a:r>
            <a:r>
              <a:rPr lang="en-US" sz="1600" b="1" baseline="0">
                <a:solidFill>
                  <a:schemeClr val="accent5">
                    <a:lumMod val="50000"/>
                  </a:schemeClr>
                </a:solidFill>
              </a:rPr>
              <a:t> Idle</a:t>
            </a:r>
            <a:endParaRPr lang="en-US" sz="1600" b="1"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4979737775833575"/>
          <c:y val="6.94444444444444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6161111111111115"/>
          <c:w val="0.90286351706036749"/>
          <c:h val="0.7095096237970254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50000">
                  <a:srgbClr val="976FB2"/>
                </a:gs>
                <a:gs pos="81000">
                  <a:srgbClr val="79439B">
                    <a:lumMod val="100000"/>
                  </a:srgbClr>
                </a:gs>
                <a:gs pos="91000">
                  <a:srgbClr val="79439B"/>
                </a:gs>
                <a:gs pos="699">
                  <a:srgbClr val="79439B"/>
                </a:gs>
                <a:gs pos="0">
                  <a:srgbClr val="79439B"/>
                </a:gs>
                <a:gs pos="1000">
                  <a:srgbClr val="F2F0F5"/>
                </a:gs>
                <a:gs pos="100000">
                  <a:srgbClr val="79439B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50000">
                    <a:schemeClr val="accent5">
                      <a:lumMod val="50000"/>
                    </a:schemeClr>
                  </a:gs>
                  <a:gs pos="81000">
                    <a:schemeClr val="accent5">
                      <a:lumMod val="50000"/>
                    </a:schemeClr>
                  </a:gs>
                  <a:gs pos="91000">
                    <a:schemeClr val="accent5">
                      <a:lumMod val="5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accent5">
                      <a:lumMod val="5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20-4A74-B248-A28AE8D60876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50000">
                    <a:schemeClr val="tx2">
                      <a:lumMod val="60000"/>
                      <a:lumOff val="40000"/>
                    </a:schemeClr>
                  </a:gs>
                  <a:gs pos="81000">
                    <a:schemeClr val="tx2">
                      <a:lumMod val="60000"/>
                      <a:lumOff val="40000"/>
                    </a:schemeClr>
                  </a:gs>
                  <a:gs pos="91000">
                    <a:schemeClr val="tx2">
                      <a:lumMod val="60000"/>
                      <a:lumOff val="4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tx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D20-4A74-B248-A28AE8D608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R/A</c:v>
              </c:pt>
              <c:pt idx="1">
                <c:v> R/B</c:v>
              </c:pt>
              <c:pt idx="2">
                <c:v> R/C</c:v>
              </c:pt>
            </c:strLit>
          </c:cat>
          <c:val>
            <c:numRef>
              <c:f>'Main Dashboard'!$F$26:$H$26</c:f>
              <c:numCache>
                <c:formatCode>General</c:formatCode>
                <c:ptCount val="3"/>
                <c:pt idx="0">
                  <c:v>7.4569999999999999</c:v>
                </c:pt>
                <c:pt idx="1">
                  <c:v>8.0860000000000003</c:v>
                </c:pt>
                <c:pt idx="2">
                  <c:v>7.9909999999999997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A-487F-A52F-35AC10C01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50835200"/>
        <c:axId val="50835680"/>
      </c:barChart>
      <c:catAx>
        <c:axId val="508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35680"/>
        <c:crosses val="autoZero"/>
        <c:auto val="1"/>
        <c:lblAlgn val="ctr"/>
        <c:lblOffset val="100"/>
        <c:noMultiLvlLbl val="0"/>
      </c:catAx>
      <c:valAx>
        <c:axId val="50835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83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5">
                    <a:lumMod val="50000"/>
                  </a:schemeClr>
                </a:solidFill>
              </a:rPr>
              <a:t>Stop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50000">
                  <a:srgbClr val="976FB2"/>
                </a:gs>
                <a:gs pos="81000">
                  <a:srgbClr val="79439B">
                    <a:lumMod val="100000"/>
                  </a:srgbClr>
                </a:gs>
                <a:gs pos="91000">
                  <a:srgbClr val="79439B"/>
                </a:gs>
                <a:gs pos="699">
                  <a:srgbClr val="79439B"/>
                </a:gs>
                <a:gs pos="0">
                  <a:srgbClr val="79439B"/>
                </a:gs>
                <a:gs pos="1000">
                  <a:srgbClr val="F2F0F5"/>
                </a:gs>
                <a:gs pos="100000">
                  <a:srgbClr val="79439B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50000">
                    <a:schemeClr val="accent5">
                      <a:lumMod val="50000"/>
                    </a:schemeClr>
                  </a:gs>
                  <a:gs pos="81000">
                    <a:schemeClr val="accent5">
                      <a:lumMod val="50000"/>
                    </a:schemeClr>
                  </a:gs>
                  <a:gs pos="91000">
                    <a:schemeClr val="accent5">
                      <a:lumMod val="5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accent5">
                      <a:lumMod val="5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01A-448D-835C-0E52313C3BB0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50000">
                    <a:schemeClr val="tx2">
                      <a:lumMod val="60000"/>
                      <a:lumOff val="40000"/>
                    </a:schemeClr>
                  </a:gs>
                  <a:gs pos="81000">
                    <a:schemeClr val="tx2">
                      <a:lumMod val="60000"/>
                      <a:lumOff val="40000"/>
                    </a:schemeClr>
                  </a:gs>
                  <a:gs pos="91000">
                    <a:schemeClr val="tx2">
                      <a:lumMod val="60000"/>
                      <a:lumOff val="4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tx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1A-448D-835C-0E52313C3B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R/A</c:v>
              </c:pt>
              <c:pt idx="1">
                <c:v> R/B</c:v>
              </c:pt>
              <c:pt idx="2">
                <c:v> R/C</c:v>
              </c:pt>
            </c:strLit>
          </c:cat>
          <c:val>
            <c:numRef>
              <c:f>'Main Dashboard'!$F$30:$H$30</c:f>
              <c:numCache>
                <c:formatCode>General</c:formatCode>
                <c:ptCount val="3"/>
                <c:pt idx="0">
                  <c:v>10.901</c:v>
                </c:pt>
                <c:pt idx="1">
                  <c:v>8.6210000000000004</c:v>
                </c:pt>
                <c:pt idx="2">
                  <c:v>12.276999999999999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0E-4C31-857D-6E3B73B284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66949440"/>
        <c:axId val="166948480"/>
      </c:barChart>
      <c:catAx>
        <c:axId val="16694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8480"/>
        <c:crosses val="autoZero"/>
        <c:auto val="1"/>
        <c:lblAlgn val="ctr"/>
        <c:lblOffset val="100"/>
        <c:noMultiLvlLbl val="0"/>
      </c:catAx>
      <c:valAx>
        <c:axId val="1669484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94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5">
                    <a:lumMod val="50000"/>
                  </a:schemeClr>
                </a:solidFill>
              </a:rPr>
              <a:t>End</a:t>
            </a:r>
            <a:r>
              <a:rPr lang="en-US" sz="1600" b="1" baseline="0">
                <a:solidFill>
                  <a:schemeClr val="accent5">
                    <a:lumMod val="50000"/>
                  </a:schemeClr>
                </a:solidFill>
              </a:rPr>
              <a:t> Breakage</a:t>
            </a:r>
            <a:endParaRPr lang="en-US" sz="1600" b="1">
              <a:solidFill>
                <a:schemeClr val="accent5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50000">
                  <a:srgbClr val="976FB2"/>
                </a:gs>
                <a:gs pos="81000">
                  <a:srgbClr val="79439B">
                    <a:lumMod val="100000"/>
                  </a:srgbClr>
                </a:gs>
                <a:gs pos="91000">
                  <a:srgbClr val="79439B"/>
                </a:gs>
                <a:gs pos="699">
                  <a:srgbClr val="79439B"/>
                </a:gs>
                <a:gs pos="0">
                  <a:srgbClr val="79439B"/>
                </a:gs>
                <a:gs pos="1000">
                  <a:srgbClr val="F2F0F5"/>
                </a:gs>
                <a:gs pos="100000">
                  <a:srgbClr val="79439B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50000">
                    <a:schemeClr val="accent5">
                      <a:lumMod val="50000"/>
                    </a:schemeClr>
                  </a:gs>
                  <a:gs pos="81000">
                    <a:schemeClr val="accent5">
                      <a:lumMod val="50000"/>
                    </a:schemeClr>
                  </a:gs>
                  <a:gs pos="91000">
                    <a:schemeClr val="accent5">
                      <a:lumMod val="5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accent5">
                      <a:lumMod val="5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560-4DA8-AB2E-67FBD80FCD3C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50000">
                    <a:schemeClr val="tx2">
                      <a:lumMod val="60000"/>
                      <a:lumOff val="40000"/>
                    </a:schemeClr>
                  </a:gs>
                  <a:gs pos="81000">
                    <a:schemeClr val="tx2">
                      <a:lumMod val="60000"/>
                      <a:lumOff val="40000"/>
                    </a:schemeClr>
                  </a:gs>
                  <a:gs pos="91000">
                    <a:schemeClr val="tx2">
                      <a:lumMod val="60000"/>
                      <a:lumOff val="4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tx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60-4DA8-AB2E-67FBD80FCD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R/A</c:v>
              </c:pt>
              <c:pt idx="1">
                <c:v> R/B</c:v>
              </c:pt>
              <c:pt idx="2">
                <c:v> R/C</c:v>
              </c:pt>
            </c:strLit>
          </c:cat>
          <c:val>
            <c:numRef>
              <c:f>'Main Dashboard'!$F$31:$H$31</c:f>
              <c:numCache>
                <c:formatCode>General</c:formatCode>
                <c:ptCount val="3"/>
                <c:pt idx="0">
                  <c:v>7337</c:v>
                </c:pt>
                <c:pt idx="1">
                  <c:v>7834</c:v>
                </c:pt>
                <c:pt idx="2">
                  <c:v>7158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89E-AA62-048194DCFA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74441984"/>
        <c:axId val="174458304"/>
      </c:barChart>
      <c:catAx>
        <c:axId val="17444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8304"/>
        <c:crosses val="autoZero"/>
        <c:auto val="1"/>
        <c:lblAlgn val="ctr"/>
        <c:lblOffset val="100"/>
        <c:noMultiLvlLbl val="0"/>
      </c:catAx>
      <c:valAx>
        <c:axId val="174458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4419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5">
                    <a:lumMod val="50000"/>
                  </a:schemeClr>
                </a:solidFill>
              </a:rPr>
              <a:t>Min/Doff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50000">
                  <a:srgbClr val="976FB2"/>
                </a:gs>
                <a:gs pos="81000">
                  <a:srgbClr val="79439B">
                    <a:lumMod val="100000"/>
                  </a:srgbClr>
                </a:gs>
                <a:gs pos="91000">
                  <a:srgbClr val="79439B"/>
                </a:gs>
                <a:gs pos="699">
                  <a:srgbClr val="79439B"/>
                </a:gs>
                <a:gs pos="0">
                  <a:srgbClr val="79439B"/>
                </a:gs>
                <a:gs pos="1000">
                  <a:srgbClr val="F2F0F5"/>
                </a:gs>
                <a:gs pos="100000">
                  <a:srgbClr val="79439B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50000">
                    <a:schemeClr val="accent5">
                      <a:lumMod val="50000"/>
                    </a:schemeClr>
                  </a:gs>
                  <a:gs pos="81000">
                    <a:schemeClr val="accent5">
                      <a:lumMod val="50000"/>
                    </a:schemeClr>
                  </a:gs>
                  <a:gs pos="91000">
                    <a:schemeClr val="accent5">
                      <a:lumMod val="5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accent5">
                      <a:lumMod val="5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F5D-4F0C-A51E-E1D5589A4531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50000">
                    <a:schemeClr val="tx2">
                      <a:lumMod val="60000"/>
                      <a:lumOff val="40000"/>
                    </a:schemeClr>
                  </a:gs>
                  <a:gs pos="81000">
                    <a:schemeClr val="tx2">
                      <a:lumMod val="60000"/>
                      <a:lumOff val="40000"/>
                    </a:schemeClr>
                  </a:gs>
                  <a:gs pos="91000">
                    <a:schemeClr val="tx2">
                      <a:lumMod val="60000"/>
                      <a:lumOff val="40000"/>
                    </a:schemeClr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chemeClr val="tx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5D-4F0C-A51E-E1D5589A45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R/A</c:v>
              </c:pt>
              <c:pt idx="1">
                <c:v> R/B</c:v>
              </c:pt>
              <c:pt idx="2">
                <c:v> R/C</c:v>
              </c:pt>
            </c:strLit>
          </c:cat>
          <c:val>
            <c:numRef>
              <c:f>'Main Dashboard'!$F$29:$H$29</c:f>
              <c:numCache>
                <c:formatCode>General</c:formatCode>
                <c:ptCount val="3"/>
                <c:pt idx="0">
                  <c:v>5.91</c:v>
                </c:pt>
                <c:pt idx="1">
                  <c:v>5.2859999999999996</c:v>
                </c:pt>
                <c:pt idx="2">
                  <c:v>6.5380000000000003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0-421A-98D9-83B848CB4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74483744"/>
        <c:axId val="174466944"/>
      </c:barChart>
      <c:catAx>
        <c:axId val="1744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66944"/>
        <c:crosses val="autoZero"/>
        <c:auto val="1"/>
        <c:lblAlgn val="ctr"/>
        <c:lblOffset val="100"/>
        <c:noMultiLvlLbl val="0"/>
      </c:catAx>
      <c:valAx>
        <c:axId val="174466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48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371410779432301E-2"/>
          <c:y val="1.3723172278759771E-2"/>
          <c:w val="0.93407884110640016"/>
          <c:h val="0.9745029942449120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50000">
                  <a:srgbClr val="976FB2"/>
                </a:gs>
                <a:gs pos="81000">
                  <a:srgbClr val="79439B">
                    <a:lumMod val="100000"/>
                  </a:srgbClr>
                </a:gs>
                <a:gs pos="91000">
                  <a:srgbClr val="79439B"/>
                </a:gs>
                <a:gs pos="699">
                  <a:srgbClr val="79439B"/>
                </a:gs>
                <a:gs pos="0">
                  <a:srgbClr val="79439B"/>
                </a:gs>
                <a:gs pos="1000">
                  <a:srgbClr val="F2F0F5"/>
                </a:gs>
                <a:gs pos="100000">
                  <a:srgbClr val="79439B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gradFill>
                <a:gsLst>
                  <a:gs pos="50000">
                    <a:srgbClr val="976FB2"/>
                  </a:gs>
                  <a:gs pos="81000">
                    <a:srgbClr val="79439B">
                      <a:lumMod val="100000"/>
                    </a:srgbClr>
                  </a:gs>
                  <a:gs pos="91000">
                    <a:srgbClr val="79439B"/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rgbClr val="79439B"/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47-48C0-9C58-E7DF3C02C4CA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50000">
                    <a:srgbClr val="976FB2"/>
                  </a:gs>
                  <a:gs pos="81000">
                    <a:srgbClr val="79439B">
                      <a:lumMod val="100000"/>
                    </a:srgbClr>
                  </a:gs>
                  <a:gs pos="91000">
                    <a:srgbClr val="79439B"/>
                  </a:gs>
                  <a:gs pos="699">
                    <a:srgbClr val="79439B"/>
                  </a:gs>
                  <a:gs pos="0">
                    <a:srgbClr val="79439B"/>
                  </a:gs>
                  <a:gs pos="1000">
                    <a:srgbClr val="F2F0F5"/>
                  </a:gs>
                  <a:gs pos="100000">
                    <a:srgbClr val="79439B"/>
                  </a:gs>
                </a:gsLst>
                <a:lin ang="162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447-48C0-9C58-E7DF3C02C4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'Main Dashboard'!$F$28:$H$28</c:f>
              <c:numCache>
                <c:formatCode>General</c:formatCode>
                <c:ptCount val="3"/>
                <c:pt idx="0">
                  <c:v>348</c:v>
                </c:pt>
                <c:pt idx="1">
                  <c:v>342</c:v>
                </c:pt>
                <c:pt idx="2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0-4438-BB68-875656DFA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45549536"/>
        <c:axId val="145534656"/>
      </c:barChart>
      <c:catAx>
        <c:axId val="145549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534656"/>
        <c:crosses val="autoZero"/>
        <c:auto val="1"/>
        <c:lblAlgn val="ctr"/>
        <c:lblOffset val="100"/>
        <c:noMultiLvlLbl val="0"/>
      </c:catAx>
      <c:valAx>
        <c:axId val="145534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54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28571428571431"/>
          <c:y val="8.771929824561403E-2"/>
          <c:w val="0.70285714285714274"/>
          <c:h val="0.8621553884711779"/>
        </c:manualLayout>
      </c:layout>
      <c:doughnutChart>
        <c:varyColors val="1"/>
        <c:ser>
          <c:idx val="0"/>
          <c:order val="0"/>
          <c:spPr>
            <a:solidFill>
              <a:srgbClr val="79439B"/>
            </a:solidFill>
          </c:spPr>
          <c:dPt>
            <c:idx val="0"/>
            <c:bubble3D val="0"/>
            <c:spPr>
              <a:solidFill>
                <a:srgbClr val="7943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6B-46E4-8762-F7C8BDBBDABA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6B-46E4-8762-F7C8BDBBDABA}"/>
              </c:ext>
            </c:extLst>
          </c:dPt>
          <c:val>
            <c:numRef>
              <c:f>Sheet6!$B$2:$B$3</c:f>
              <c:numCache>
                <c:formatCode>0%</c:formatCode>
                <c:ptCount val="2"/>
                <c:pt idx="0">
                  <c:v>0.89395398230088507</c:v>
                </c:pt>
                <c:pt idx="1">
                  <c:v>0.10604601769911493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6B-46E4-8762-F7C8BDBBD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2F0F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79439B"/>
            </a:solidFill>
          </c:spPr>
          <c:dPt>
            <c:idx val="0"/>
            <c:bubble3D val="0"/>
            <c:spPr>
              <a:solidFill>
                <a:srgbClr val="7943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93-4C11-B65F-0E5F15180D89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A5-42E2-AC58-A571F32523D2}"/>
              </c:ext>
            </c:extLst>
          </c:dPt>
          <c:val>
            <c:numRef>
              <c:f>Sheet6!$B$2:$B$3</c:f>
              <c:numCache>
                <c:formatCode>0%</c:formatCode>
                <c:ptCount val="2"/>
                <c:pt idx="0">
                  <c:v>0.89395398230088507</c:v>
                </c:pt>
                <c:pt idx="1">
                  <c:v>0.10604601769911493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5-42E2-AC58-A571F3252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227965169894301E-2"/>
          <c:y val="0.19225260416666667"/>
          <c:w val="0.88343419699226788"/>
          <c:h val="0.59161284038713913"/>
        </c:manualLayout>
      </c:layout>
      <c:lineChart>
        <c:grouping val="standard"/>
        <c:varyColors val="0"/>
        <c:ser>
          <c:idx val="0"/>
          <c:order val="0"/>
          <c:tx>
            <c:strRef>
              <c:f>Sheet6!$B$23</c:f>
              <c:strCache>
                <c:ptCount val="1"/>
                <c:pt idx="0">
                  <c:v>Efficiency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Sheet6!$A$24:$A$35</c:f>
              <c:strCache>
                <c:ptCount val="11"/>
                <c:pt idx="0">
                  <c:v>30/09</c:v>
                </c:pt>
                <c:pt idx="1">
                  <c:v>01/10</c:v>
                </c:pt>
                <c:pt idx="2">
                  <c:v>02/10</c:v>
                </c:pt>
                <c:pt idx="3">
                  <c:v>03/10</c:v>
                </c:pt>
                <c:pt idx="4">
                  <c:v>04/10</c:v>
                </c:pt>
                <c:pt idx="5">
                  <c:v>05/10</c:v>
                </c:pt>
                <c:pt idx="6">
                  <c:v>06/10</c:v>
                </c:pt>
                <c:pt idx="7">
                  <c:v>07/10</c:v>
                </c:pt>
                <c:pt idx="8">
                  <c:v>08/10</c:v>
                </c:pt>
                <c:pt idx="9">
                  <c:v>09/10</c:v>
                </c:pt>
                <c:pt idx="10">
                  <c:v>10/10</c:v>
                </c:pt>
              </c:strCache>
            </c:strRef>
          </c:cat>
          <c:val>
            <c:numRef>
              <c:f>Sheet6!$B$24:$B$35</c:f>
              <c:numCache>
                <c:formatCode>0%</c:formatCode>
                <c:ptCount val="11"/>
                <c:pt idx="0">
                  <c:v>0.7</c:v>
                </c:pt>
                <c:pt idx="1">
                  <c:v>0.7</c:v>
                </c:pt>
                <c:pt idx="2">
                  <c:v>0.72</c:v>
                </c:pt>
                <c:pt idx="3">
                  <c:v>0.7</c:v>
                </c:pt>
                <c:pt idx="4">
                  <c:v>0.64</c:v>
                </c:pt>
                <c:pt idx="5">
                  <c:v>0.7</c:v>
                </c:pt>
                <c:pt idx="6">
                  <c:v>0.68</c:v>
                </c:pt>
                <c:pt idx="7">
                  <c:v>0.67</c:v>
                </c:pt>
                <c:pt idx="8">
                  <c:v>0.71</c:v>
                </c:pt>
                <c:pt idx="9">
                  <c:v>0.72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6-4233-A44B-92780E823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572687"/>
        <c:axId val="1012557327"/>
      </c:lineChart>
      <c:catAx>
        <c:axId val="101257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57327"/>
        <c:crosses val="autoZero"/>
        <c:auto val="1"/>
        <c:lblAlgn val="ctr"/>
        <c:lblOffset val="100"/>
        <c:noMultiLvlLbl val="0"/>
      </c:catAx>
      <c:valAx>
        <c:axId val="1012557327"/>
        <c:scaling>
          <c:orientation val="minMax"/>
          <c:max val="0.78"/>
          <c:min val="0.64000000000000012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57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2F0F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07/relationships/hdphoto" Target="../media/hdphoto1.wdp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48638</xdr:colOff>
      <xdr:row>2</xdr:row>
      <xdr:rowOff>545</xdr:rowOff>
    </xdr:from>
    <xdr:to>
      <xdr:col>21</xdr:col>
      <xdr:colOff>355599</xdr:colOff>
      <xdr:row>31</xdr:row>
      <xdr:rowOff>178840</xdr:rowOff>
    </xdr:to>
    <xdr:sp macro="" textlink="">
      <xdr:nvSpPr>
        <xdr:cNvPr id="10" name="Rectangle: Top Corners Rounded 9">
          <a:extLst>
            <a:ext uri="{FF2B5EF4-FFF2-40B4-BE49-F238E27FC236}">
              <a16:creationId xmlns:a16="http://schemas.microsoft.com/office/drawing/2014/main" id="{E83917D9-4C67-C8FE-BDCC-331A75FECE6C}"/>
            </a:ext>
          </a:extLst>
        </xdr:cNvPr>
        <xdr:cNvSpPr/>
      </xdr:nvSpPr>
      <xdr:spPr>
        <a:xfrm rot="5400000">
          <a:off x="7484154" y="-818012"/>
          <a:ext cx="5807765" cy="8191328"/>
        </a:xfrm>
        <a:prstGeom prst="round2SameRect">
          <a:avLst/>
        </a:prstGeom>
        <a:solidFill>
          <a:srgbClr val="E3DFE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3631</xdr:colOff>
      <xdr:row>46</xdr:row>
      <xdr:rowOff>14941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BC037B-9BF3-B6B7-309B-34C2FA9661CE}"/>
            </a:ext>
          </a:extLst>
        </xdr:cNvPr>
        <xdr:cNvSpPr/>
      </xdr:nvSpPr>
      <xdr:spPr>
        <a:xfrm>
          <a:off x="0" y="0"/>
          <a:ext cx="1617278" cy="8845176"/>
        </a:xfrm>
        <a:prstGeom prst="rect">
          <a:avLst/>
        </a:prstGeom>
        <a:solidFill>
          <a:srgbClr val="F2F0F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769774</xdr:colOff>
      <xdr:row>2</xdr:row>
      <xdr:rowOff>38100</xdr:rowOff>
    </xdr:from>
    <xdr:to>
      <xdr:col>8</xdr:col>
      <xdr:colOff>15394</xdr:colOff>
      <xdr:row>7</xdr:row>
      <xdr:rowOff>129540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42E8C2ED-2111-4DB8-8D1E-F2C75E75804A}"/>
            </a:ext>
          </a:extLst>
        </xdr:cNvPr>
        <xdr:cNvGrpSpPr/>
      </xdr:nvGrpSpPr>
      <xdr:grpSpPr>
        <a:xfrm>
          <a:off x="4014998" y="396688"/>
          <a:ext cx="2230867" cy="987911"/>
          <a:chOff x="2476500" y="45720"/>
          <a:chExt cx="2240280" cy="1005840"/>
        </a:xfrm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D8F89ED0-7295-F321-CE91-E974DD37FB0F}"/>
              </a:ext>
            </a:extLst>
          </xdr:cNvPr>
          <xdr:cNvSpPr/>
        </xdr:nvSpPr>
        <xdr:spPr>
          <a:xfrm>
            <a:off x="2476500" y="45720"/>
            <a:ext cx="2240280" cy="1005840"/>
          </a:xfrm>
          <a:prstGeom prst="roundRect">
            <a:avLst/>
          </a:prstGeom>
          <a:solidFill>
            <a:srgbClr val="F2F0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accent5">
                    <a:lumMod val="50000"/>
                  </a:schemeClr>
                </a:solidFill>
              </a:rPr>
              <a:t>Efficiency</a:t>
            </a:r>
            <a:endParaRPr lang="en-US" sz="1600" b="1">
              <a:solidFill>
                <a:schemeClr val="accent5">
                  <a:lumMod val="50000"/>
                </a:schemeClr>
              </a:solidFill>
            </a:endParaRPr>
          </a:p>
          <a:p>
            <a:pPr algn="l"/>
            <a:endParaRPr lang="en-US" sz="1100"/>
          </a:p>
        </xdr:txBody>
      </xdr: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F09D658F-12E8-BDFE-31A5-F63AA09BDAF3}"/>
              </a:ext>
            </a:extLst>
          </xdr:cNvPr>
          <xdr:cNvGrpSpPr/>
        </xdr:nvGrpSpPr>
        <xdr:grpSpPr>
          <a:xfrm>
            <a:off x="3421380" y="91440"/>
            <a:ext cx="1226820" cy="922020"/>
            <a:chOff x="4688860" y="1060108"/>
            <a:chExt cx="4639896" cy="2951652"/>
          </a:xfrm>
        </xdr:grpSpPr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5094294F-FEEB-FE64-577C-6CA07F0452CC}"/>
                </a:ext>
              </a:extLst>
            </xdr:cNvPr>
            <xdr:cNvGraphicFramePr/>
          </xdr:nvGraphicFramePr>
          <xdr:xfrm>
            <a:off x="4688860" y="1060108"/>
            <a:ext cx="4639896" cy="295165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$F$11">
          <xdr:nvSpPr>
            <xdr:cNvPr id="23" name="TextBox 22">
              <a:extLst>
                <a:ext uri="{FF2B5EF4-FFF2-40B4-BE49-F238E27FC236}">
                  <a16:creationId xmlns:a16="http://schemas.microsoft.com/office/drawing/2014/main" id="{DC2FC193-7990-58AF-630F-623D887A6788}"/>
                </a:ext>
              </a:extLst>
            </xdr:cNvPr>
            <xdr:cNvSpPr txBox="1"/>
          </xdr:nvSpPr>
          <xdr:spPr>
            <a:xfrm>
              <a:off x="6101002" y="2178734"/>
              <a:ext cx="1700335" cy="878177"/>
            </a:xfrm>
            <a:prstGeom prst="rect">
              <a:avLst/>
            </a:prstGeom>
            <a:solidFill>
              <a:srgbClr val="F2F0F5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DCC40D1F-83B3-460E-AAE4-1607C5CC3C86}" type="TxLink">
                <a:rPr lang="en-US" sz="1100" b="0" i="0" u="none" strike="noStrike">
                  <a:solidFill>
                    <a:schemeClr val="accent5">
                      <a:lumMod val="50000"/>
                    </a:schemeClr>
                  </a:solidFill>
                  <a:latin typeface="Times New Roman"/>
                  <a:ea typeface="Calibri"/>
                  <a:cs typeface="Times New Roman"/>
                </a:rPr>
                <a:pPr algn="ctr"/>
                <a:t>70%</a:t>
              </a:fld>
              <a:endParaRPr lang="en-US" sz="200" b="1">
                <a:solidFill>
                  <a:schemeClr val="accent5">
                    <a:lumMod val="50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5</xdr:col>
      <xdr:colOff>967740</xdr:colOff>
      <xdr:row>3</xdr:row>
      <xdr:rowOff>160020</xdr:rowOff>
    </xdr:from>
    <xdr:to>
      <xdr:col>6</xdr:col>
      <xdr:colOff>647700</xdr:colOff>
      <xdr:row>6</xdr:row>
      <xdr:rowOff>76200</xdr:rowOff>
    </xdr:to>
    <xdr:sp macro="" textlink="$F$11">
      <xdr:nvSpPr>
        <xdr:cNvPr id="24" name="TextBox 23">
          <a:extLst>
            <a:ext uri="{FF2B5EF4-FFF2-40B4-BE49-F238E27FC236}">
              <a16:creationId xmlns:a16="http://schemas.microsoft.com/office/drawing/2014/main" id="{1BA9A1BB-7490-49C5-B973-11494844B55A}"/>
            </a:ext>
          </a:extLst>
        </xdr:cNvPr>
        <xdr:cNvSpPr txBox="1"/>
      </xdr:nvSpPr>
      <xdr:spPr>
        <a:xfrm>
          <a:off x="5044440" y="342900"/>
          <a:ext cx="678180" cy="464820"/>
        </a:xfrm>
        <a:prstGeom prst="rect">
          <a:avLst/>
        </a:prstGeom>
        <a:solidFill>
          <a:srgbClr val="F2F0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3266BC5-D5F5-4FA0-837C-AA3C9FF443D8}" type="TxLink">
            <a:rPr lang="en-US" sz="2000" b="1" i="0" u="none" strike="noStrike">
              <a:solidFill>
                <a:schemeClr val="accent5">
                  <a:lumMod val="50000"/>
                </a:schemeClr>
              </a:solidFill>
              <a:latin typeface="+mn-lt"/>
              <a:ea typeface="Calibri"/>
              <a:cs typeface="Times New Roman"/>
            </a:rPr>
            <a:pPr algn="ctr"/>
            <a:t>70%</a:t>
          </a:fld>
          <a:endParaRPr lang="en-US" sz="3600" b="1">
            <a:solidFill>
              <a:schemeClr val="accent5">
                <a:lumMod val="50000"/>
              </a:schemeClr>
            </a:solidFill>
            <a:latin typeface="+mn-lt"/>
          </a:endParaRPr>
        </a:p>
      </xdr:txBody>
    </xdr:sp>
    <xdr:clientData/>
  </xdr:twoCellAnchor>
  <xdr:twoCellAnchor>
    <xdr:from>
      <xdr:col>8</xdr:col>
      <xdr:colOff>114300</xdr:colOff>
      <xdr:row>2</xdr:row>
      <xdr:rowOff>45720</xdr:rowOff>
    </xdr:from>
    <xdr:to>
      <xdr:col>15</xdr:col>
      <xdr:colOff>426720</xdr:colOff>
      <xdr:row>7</xdr:row>
      <xdr:rowOff>129540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E3378A50-F865-F2C8-F279-3E1E0DAD5B9D}"/>
            </a:ext>
          </a:extLst>
        </xdr:cNvPr>
        <xdr:cNvGrpSpPr/>
      </xdr:nvGrpSpPr>
      <xdr:grpSpPr>
        <a:xfrm>
          <a:off x="6344771" y="404308"/>
          <a:ext cx="4579620" cy="980291"/>
          <a:chOff x="7239000" y="45720"/>
          <a:chExt cx="5120640" cy="9982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E2CCF8D8-683E-4081-B4A8-FEDAE3F52C94}"/>
              </a:ext>
            </a:extLst>
          </xdr:cNvPr>
          <xdr:cNvSpPr/>
        </xdr:nvSpPr>
        <xdr:spPr>
          <a:xfrm>
            <a:off x="7239000" y="45720"/>
            <a:ext cx="5120640" cy="998220"/>
          </a:xfrm>
          <a:prstGeom prst="roundRect">
            <a:avLst/>
          </a:prstGeom>
          <a:solidFill>
            <a:srgbClr val="F2F0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B6A1D4FE-1AA7-476F-A3F5-735D94C7CA20}"/>
              </a:ext>
            </a:extLst>
          </xdr:cNvPr>
          <xdr:cNvGraphicFramePr>
            <a:graphicFrameLocks/>
          </xdr:cNvGraphicFramePr>
        </xdr:nvGraphicFramePr>
        <xdr:xfrm>
          <a:off x="8301361" y="60960"/>
          <a:ext cx="3896397" cy="9448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8</xdr:col>
      <xdr:colOff>207817</xdr:colOff>
      <xdr:row>3</xdr:row>
      <xdr:rowOff>6158</xdr:rowOff>
    </xdr:from>
    <xdr:to>
      <xdr:col>10</xdr:col>
      <xdr:colOff>15393</xdr:colOff>
      <xdr:row>6</xdr:row>
      <xdr:rowOff>69273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4D1CC97-FDD4-A327-40E6-EE556FDAE8C5}"/>
            </a:ext>
          </a:extLst>
        </xdr:cNvPr>
        <xdr:cNvSpPr txBox="1"/>
      </xdr:nvSpPr>
      <xdr:spPr>
        <a:xfrm>
          <a:off x="6119090" y="190885"/>
          <a:ext cx="1023697" cy="617297"/>
        </a:xfrm>
        <a:prstGeom prst="rect">
          <a:avLst/>
        </a:prstGeom>
        <a:solidFill>
          <a:srgbClr val="F2F0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accent5">
                  <a:lumMod val="50000"/>
                </a:schemeClr>
              </a:solidFill>
            </a:rPr>
            <a:t>Efficiency</a:t>
          </a:r>
        </a:p>
        <a:p>
          <a:r>
            <a:rPr lang="en-US" sz="1400" b="1">
              <a:solidFill>
                <a:schemeClr val="accent5">
                  <a:lumMod val="50000"/>
                </a:schemeClr>
              </a:solidFill>
            </a:rPr>
            <a:t>Trend</a:t>
          </a:r>
        </a:p>
      </xdr:txBody>
    </xdr:sp>
    <xdr:clientData/>
  </xdr:twoCellAnchor>
  <xdr:twoCellAnchor>
    <xdr:from>
      <xdr:col>8</xdr:col>
      <xdr:colOff>99060</xdr:colOff>
      <xdr:row>8</xdr:row>
      <xdr:rowOff>45720</xdr:rowOff>
    </xdr:from>
    <xdr:to>
      <xdr:col>14</xdr:col>
      <xdr:colOff>99060</xdr:colOff>
      <xdr:row>18</xdr:row>
      <xdr:rowOff>30480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56B77092-0248-2B35-520D-4424CECEB426}"/>
            </a:ext>
          </a:extLst>
        </xdr:cNvPr>
        <xdr:cNvGrpSpPr/>
      </xdr:nvGrpSpPr>
      <xdr:grpSpPr>
        <a:xfrm>
          <a:off x="6329531" y="1480073"/>
          <a:ext cx="3657600" cy="1983889"/>
          <a:chOff x="7170420" y="1143000"/>
          <a:chExt cx="3657600" cy="198882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E5C45770-4071-337B-9285-5F069769F75B}"/>
              </a:ext>
            </a:extLst>
          </xdr:cNvPr>
          <xdr:cNvSpPr/>
        </xdr:nvSpPr>
        <xdr:spPr>
          <a:xfrm>
            <a:off x="7170420" y="1143000"/>
            <a:ext cx="3657600" cy="1988820"/>
          </a:xfrm>
          <a:prstGeom prst="roundRect">
            <a:avLst/>
          </a:prstGeom>
          <a:solidFill>
            <a:srgbClr val="F2F0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48353B23-E6ED-7572-96D2-3D87F7D9131D}"/>
              </a:ext>
            </a:extLst>
          </xdr:cNvPr>
          <xdr:cNvGraphicFramePr/>
        </xdr:nvGraphicFramePr>
        <xdr:xfrm>
          <a:off x="7360920" y="1211580"/>
          <a:ext cx="3291840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14</xdr:col>
      <xdr:colOff>205740</xdr:colOff>
      <xdr:row>18</xdr:row>
      <xdr:rowOff>137160</xdr:rowOff>
    </xdr:from>
    <xdr:to>
      <xdr:col>20</xdr:col>
      <xdr:colOff>205740</xdr:colOff>
      <xdr:row>28</xdr:row>
      <xdr:rowOff>137160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EC4A66F4-9912-4A81-AF7A-63949A1818D6}"/>
            </a:ext>
          </a:extLst>
        </xdr:cNvPr>
        <xdr:cNvSpPr/>
      </xdr:nvSpPr>
      <xdr:spPr>
        <a:xfrm>
          <a:off x="10332720" y="3238500"/>
          <a:ext cx="3657600" cy="1988820"/>
        </a:xfrm>
        <a:prstGeom prst="roundRect">
          <a:avLst/>
        </a:prstGeom>
        <a:solidFill>
          <a:srgbClr val="F2F0F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457200</xdr:colOff>
      <xdr:row>79</xdr:row>
      <xdr:rowOff>91440</xdr:rowOff>
    </xdr:to>
    <xdr:sp macro="" textlink="$B$4">
      <xdr:nvSpPr>
        <xdr:cNvPr id="4" name="TextBox 3">
          <a:extLst>
            <a:ext uri="{FF2B5EF4-FFF2-40B4-BE49-F238E27FC236}">
              <a16:creationId xmlns:a16="http://schemas.microsoft.com/office/drawing/2014/main" id="{36C3A24E-A21B-4E1E-B82C-C7D399E1C04D}"/>
            </a:ext>
          </a:extLst>
        </xdr:cNvPr>
        <xdr:cNvSpPr txBox="1"/>
      </xdr:nvSpPr>
      <xdr:spPr>
        <a:xfrm>
          <a:off x="8298180" y="14279880"/>
          <a:ext cx="457200" cy="274320"/>
        </a:xfrm>
        <a:prstGeom prst="rect">
          <a:avLst/>
        </a:prstGeom>
        <a:solidFill>
          <a:srgbClr val="F2F0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CE55225-7144-43BB-A349-4838B0F90A00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9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205740</xdr:colOff>
      <xdr:row>8</xdr:row>
      <xdr:rowOff>45720</xdr:rowOff>
    </xdr:from>
    <xdr:to>
      <xdr:col>20</xdr:col>
      <xdr:colOff>205740</xdr:colOff>
      <xdr:row>18</xdr:row>
      <xdr:rowOff>30480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281892F-8028-7B1C-1D2B-7C783280613C}"/>
            </a:ext>
          </a:extLst>
        </xdr:cNvPr>
        <xdr:cNvGrpSpPr/>
      </xdr:nvGrpSpPr>
      <xdr:grpSpPr>
        <a:xfrm>
          <a:off x="10093811" y="1480073"/>
          <a:ext cx="3657600" cy="1983889"/>
          <a:chOff x="10332720" y="1143000"/>
          <a:chExt cx="3657600" cy="1988820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56FA801D-F158-4599-ACE9-1EA801FD5199}"/>
              </a:ext>
            </a:extLst>
          </xdr:cNvPr>
          <xdr:cNvSpPr/>
        </xdr:nvSpPr>
        <xdr:spPr>
          <a:xfrm>
            <a:off x="10332720" y="1143000"/>
            <a:ext cx="3657600" cy="1988820"/>
          </a:xfrm>
          <a:prstGeom prst="roundRect">
            <a:avLst/>
          </a:prstGeom>
          <a:solidFill>
            <a:srgbClr val="F2F0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CCF229A9-4833-FEFD-1FE3-EAF0C963E596}"/>
              </a:ext>
            </a:extLst>
          </xdr:cNvPr>
          <xdr:cNvGraphicFramePr/>
        </xdr:nvGraphicFramePr>
        <xdr:xfrm>
          <a:off x="10538460" y="1211580"/>
          <a:ext cx="3291840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8</xdr:col>
      <xdr:colOff>83820</xdr:colOff>
      <xdr:row>18</xdr:row>
      <xdr:rowOff>182880</xdr:rowOff>
    </xdr:from>
    <xdr:to>
      <xdr:col>14</xdr:col>
      <xdr:colOff>83820</xdr:colOff>
      <xdr:row>28</xdr:row>
      <xdr:rowOff>182880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98ACEE9-6940-D6A3-E8AB-F2687695A43C}"/>
            </a:ext>
          </a:extLst>
        </xdr:cNvPr>
        <xdr:cNvGrpSpPr/>
      </xdr:nvGrpSpPr>
      <xdr:grpSpPr>
        <a:xfrm>
          <a:off x="6314291" y="3616362"/>
          <a:ext cx="3657600" cy="1981200"/>
          <a:chOff x="6553200" y="3284220"/>
          <a:chExt cx="3657600" cy="1988820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D9DF09EA-491C-4F2D-A2AA-6B95EEAF4C1F}"/>
              </a:ext>
            </a:extLst>
          </xdr:cNvPr>
          <xdr:cNvSpPr/>
        </xdr:nvSpPr>
        <xdr:spPr>
          <a:xfrm>
            <a:off x="6553200" y="3284220"/>
            <a:ext cx="3657600" cy="1988820"/>
          </a:xfrm>
          <a:prstGeom prst="roundRect">
            <a:avLst/>
          </a:prstGeom>
          <a:solidFill>
            <a:srgbClr val="F2F0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C291A9C9-002F-7894-629B-9D3E642E562C}"/>
              </a:ext>
            </a:extLst>
          </xdr:cNvPr>
          <xdr:cNvGraphicFramePr/>
        </xdr:nvGraphicFramePr>
        <xdr:xfrm>
          <a:off x="6774180" y="3345180"/>
          <a:ext cx="3291840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14</xdr:col>
      <xdr:colOff>403860</xdr:colOff>
      <xdr:row>19</xdr:row>
      <xdr:rowOff>30480</xdr:rowOff>
    </xdr:from>
    <xdr:to>
      <xdr:col>20</xdr:col>
      <xdr:colOff>38100</xdr:colOff>
      <xdr:row>28</xdr:row>
      <xdr:rowOff>68580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B904EFE-3F68-15B2-015A-4B9705008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533400</xdr:colOff>
      <xdr:row>2</xdr:row>
      <xdr:rowOff>68580</xdr:rowOff>
    </xdr:from>
    <xdr:to>
      <xdr:col>20</xdr:col>
      <xdr:colOff>121920</xdr:colOff>
      <xdr:row>7</xdr:row>
      <xdr:rowOff>160020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5C7F39AF-C325-D34C-4391-9C4C836862EF}"/>
            </a:ext>
          </a:extLst>
        </xdr:cNvPr>
        <xdr:cNvSpPr/>
      </xdr:nvSpPr>
      <xdr:spPr>
        <a:xfrm>
          <a:off x="11269980" y="68580"/>
          <a:ext cx="2636520" cy="1005840"/>
        </a:xfrm>
        <a:prstGeom prst="roundRect">
          <a:avLst/>
        </a:prstGeom>
        <a:solidFill>
          <a:srgbClr val="F2F0F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accent5">
                  <a:lumMod val="50000"/>
                </a:schemeClr>
              </a:solidFill>
            </a:rPr>
            <a:t>Total</a:t>
          </a:r>
        </a:p>
        <a:p>
          <a:pPr algn="l"/>
          <a:r>
            <a:rPr lang="en-US" sz="1400" b="1">
              <a:solidFill>
                <a:schemeClr val="accent5">
                  <a:lumMod val="50000"/>
                </a:schemeClr>
              </a:solidFill>
            </a:rPr>
            <a:t>Doff</a:t>
          </a:r>
          <a:endParaRPr lang="en-US" sz="1600" b="1">
            <a:solidFill>
              <a:schemeClr val="accent5">
                <a:lumMod val="50000"/>
              </a:schemeClr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571500</xdr:colOff>
      <xdr:row>2</xdr:row>
      <xdr:rowOff>91440</xdr:rowOff>
    </xdr:from>
    <xdr:to>
      <xdr:col>19</xdr:col>
      <xdr:colOff>601980</xdr:colOff>
      <xdr:row>7</xdr:row>
      <xdr:rowOff>83820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85BF1452-C893-4D95-4500-410DE55A0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60113</xdr:colOff>
      <xdr:row>2</xdr:row>
      <xdr:rowOff>36561</xdr:rowOff>
    </xdr:from>
    <xdr:to>
      <xdr:col>5</xdr:col>
      <xdr:colOff>668098</xdr:colOff>
      <xdr:row>7</xdr:row>
      <xdr:rowOff>128001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70C2E34-74AB-4F64-A3E2-98286B478DED}"/>
            </a:ext>
          </a:extLst>
        </xdr:cNvPr>
        <xdr:cNvGrpSpPr/>
      </xdr:nvGrpSpPr>
      <xdr:grpSpPr>
        <a:xfrm>
          <a:off x="1664795" y="395149"/>
          <a:ext cx="2248527" cy="987911"/>
          <a:chOff x="2476500" y="45720"/>
          <a:chExt cx="2240280" cy="1005840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75835FDF-9488-CE91-D0CA-01060B0F2E6A}"/>
              </a:ext>
            </a:extLst>
          </xdr:cNvPr>
          <xdr:cNvSpPr/>
        </xdr:nvSpPr>
        <xdr:spPr>
          <a:xfrm>
            <a:off x="2476500" y="45720"/>
            <a:ext cx="2240280" cy="1005840"/>
          </a:xfrm>
          <a:prstGeom prst="roundRect">
            <a:avLst/>
          </a:prstGeom>
          <a:solidFill>
            <a:srgbClr val="F2F0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accent5">
                    <a:lumMod val="50000"/>
                  </a:schemeClr>
                </a:solidFill>
              </a:rPr>
              <a:t>Utilization</a:t>
            </a:r>
            <a:endParaRPr lang="en-US" sz="1600" b="1">
              <a:solidFill>
                <a:schemeClr val="accent5">
                  <a:lumMod val="50000"/>
                </a:schemeClr>
              </a:solidFill>
            </a:endParaRPr>
          </a:p>
          <a:p>
            <a:pPr algn="l"/>
            <a:endParaRPr lang="en-US" sz="1100"/>
          </a:p>
        </xdr:txBody>
      </xdr: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316FDBED-DC83-233F-95FC-3796565AD6E8}"/>
              </a:ext>
            </a:extLst>
          </xdr:cNvPr>
          <xdr:cNvGrpSpPr/>
        </xdr:nvGrpSpPr>
        <xdr:grpSpPr>
          <a:xfrm>
            <a:off x="3421380" y="91440"/>
            <a:ext cx="1226820" cy="922020"/>
            <a:chOff x="4688860" y="1060108"/>
            <a:chExt cx="4639896" cy="2951652"/>
          </a:xfrm>
        </xdr:grpSpPr>
        <xdr:graphicFrame macro="">
          <xdr:nvGraphicFramePr>
            <xdr:cNvPr id="34" name="Chart 33">
              <a:extLst>
                <a:ext uri="{FF2B5EF4-FFF2-40B4-BE49-F238E27FC236}">
                  <a16:creationId xmlns:a16="http://schemas.microsoft.com/office/drawing/2014/main" id="{1EA89B6C-91DB-059F-3D62-CEA4EFC1FC3B}"/>
                </a:ext>
              </a:extLst>
            </xdr:cNvPr>
            <xdr:cNvGraphicFramePr/>
          </xdr:nvGraphicFramePr>
          <xdr:xfrm>
            <a:off x="4688860" y="1060108"/>
            <a:ext cx="4639896" cy="295165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$C$54">
          <xdr:nvSpPr>
            <xdr:cNvPr id="35" name="TextBox 34">
              <a:extLst>
                <a:ext uri="{FF2B5EF4-FFF2-40B4-BE49-F238E27FC236}">
                  <a16:creationId xmlns:a16="http://schemas.microsoft.com/office/drawing/2014/main" id="{2C08B6E1-8381-540A-DB4A-9956F147C8DC}"/>
                </a:ext>
              </a:extLst>
            </xdr:cNvPr>
            <xdr:cNvSpPr txBox="1"/>
          </xdr:nvSpPr>
          <xdr:spPr>
            <a:xfrm>
              <a:off x="6101002" y="2178734"/>
              <a:ext cx="1700335" cy="878177"/>
            </a:xfrm>
            <a:prstGeom prst="rect">
              <a:avLst/>
            </a:prstGeom>
            <a:solidFill>
              <a:srgbClr val="F2F0F5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0F980A89-D11B-48AC-A50F-A86FB8076E68}" type="TxLink">
                <a:rPr lang="en-US" sz="1100" b="0" i="0" u="none" strike="noStrike">
                  <a:solidFill>
                    <a:srgbClr val="002060"/>
                  </a:solidFill>
                  <a:latin typeface="Calibri"/>
                  <a:ea typeface="Calibri"/>
                  <a:cs typeface="Calibri"/>
                </a:rPr>
                <a:pPr algn="ctr"/>
                <a:t>89%</a:t>
              </a:fld>
              <a:endParaRPr lang="en-US" sz="200" b="0">
                <a:solidFill>
                  <a:srgbClr val="002060"/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277091</xdr:colOff>
      <xdr:row>4</xdr:row>
      <xdr:rowOff>15393</xdr:rowOff>
    </xdr:from>
    <xdr:to>
      <xdr:col>4</xdr:col>
      <xdr:colOff>977515</xdr:colOff>
      <xdr:row>6</xdr:row>
      <xdr:rowOff>0</xdr:rowOff>
    </xdr:to>
    <xdr:sp macro="" textlink="$C$54">
      <xdr:nvSpPr>
        <xdr:cNvPr id="36" name="TextBox 35">
          <a:extLst>
            <a:ext uri="{FF2B5EF4-FFF2-40B4-BE49-F238E27FC236}">
              <a16:creationId xmlns:a16="http://schemas.microsoft.com/office/drawing/2014/main" id="{84677F1B-96E8-BBEF-12DF-FC28D223584D}"/>
            </a:ext>
          </a:extLst>
        </xdr:cNvPr>
        <xdr:cNvSpPr txBox="1"/>
      </xdr:nvSpPr>
      <xdr:spPr>
        <a:xfrm>
          <a:off x="1547091" y="384848"/>
          <a:ext cx="700424" cy="354061"/>
        </a:xfrm>
        <a:prstGeom prst="rect">
          <a:avLst/>
        </a:prstGeom>
        <a:solidFill>
          <a:srgbClr val="F2F0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27FFCAA-AC55-48A0-8181-FDAFA519130C}" type="TxLink">
            <a:rPr lang="en-US" sz="20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/>
            <a:t>89%</a:t>
          </a:fld>
          <a:endParaRPr lang="en-US" sz="20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178345</xdr:colOff>
      <xdr:row>1</xdr:row>
      <xdr:rowOff>171060</xdr:rowOff>
    </xdr:from>
    <xdr:to>
      <xdr:col>4</xdr:col>
      <xdr:colOff>5</xdr:colOff>
      <xdr:row>31</xdr:row>
      <xdr:rowOff>186611</xdr:rowOff>
    </xdr:to>
    <xdr:sp macro="" textlink="">
      <xdr:nvSpPr>
        <xdr:cNvPr id="14" name="Rectangle: Top Corners Rounded 13">
          <a:extLst>
            <a:ext uri="{FF2B5EF4-FFF2-40B4-BE49-F238E27FC236}">
              <a16:creationId xmlns:a16="http://schemas.microsoft.com/office/drawing/2014/main" id="{0BE7F2B0-BB21-F63D-FEE4-59B330CC7A0E}"/>
            </a:ext>
          </a:extLst>
        </xdr:cNvPr>
        <xdr:cNvSpPr/>
      </xdr:nvSpPr>
      <xdr:spPr>
        <a:xfrm rot="16200000">
          <a:off x="-1901356" y="2670638"/>
          <a:ext cx="5831633" cy="1205701"/>
        </a:xfrm>
        <a:prstGeom prst="round2SameRect">
          <a:avLst/>
        </a:prstGeom>
        <a:solidFill>
          <a:srgbClr val="E3DFE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344761</xdr:colOff>
      <xdr:row>5</xdr:row>
      <xdr:rowOff>159503</xdr:rowOff>
    </xdr:from>
    <xdr:to>
      <xdr:col>3</xdr:col>
      <xdr:colOff>482645</xdr:colOff>
      <xdr:row>10</xdr:row>
      <xdr:rowOff>180285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7DFDB4-7811-F1B9-DF5F-20852D08B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20" y="1055974"/>
          <a:ext cx="974590" cy="984487"/>
        </a:xfrm>
        <a:prstGeom prst="rect">
          <a:avLst/>
        </a:prstGeom>
      </xdr:spPr>
    </xdr:pic>
    <xdr:clientData/>
  </xdr:twoCellAnchor>
  <xdr:twoCellAnchor editAs="oneCell">
    <xdr:from>
      <xdr:col>1</xdr:col>
      <xdr:colOff>364788</xdr:colOff>
      <xdr:row>1</xdr:row>
      <xdr:rowOff>178341</xdr:rowOff>
    </xdr:from>
    <xdr:to>
      <xdr:col>3</xdr:col>
      <xdr:colOff>350981</xdr:colOff>
      <xdr:row>6</xdr:row>
      <xdr:rowOff>47234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44370A4-3CA6-C417-2957-165E086806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113" r="7946" b="4929"/>
        <a:stretch/>
      </xdr:blipFill>
      <xdr:spPr>
        <a:xfrm>
          <a:off x="729575" y="364788"/>
          <a:ext cx="829257" cy="801127"/>
        </a:xfrm>
        <a:prstGeom prst="rect">
          <a:avLst/>
        </a:prstGeom>
        <a:solidFill>
          <a:srgbClr val="E3DFEF"/>
        </a:solidFill>
      </xdr:spPr>
    </xdr:pic>
    <xdr:clientData/>
  </xdr:twoCellAnchor>
  <xdr:twoCellAnchor>
    <xdr:from>
      <xdr:col>6</xdr:col>
      <xdr:colOff>429637</xdr:colOff>
      <xdr:row>0</xdr:row>
      <xdr:rowOff>0</xdr:rowOff>
    </xdr:from>
    <xdr:to>
      <xdr:col>12</xdr:col>
      <xdr:colOff>470170</xdr:colOff>
      <xdr:row>1</xdr:row>
      <xdr:rowOff>162128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0889662A-5508-0AEC-8341-C5874A113296}"/>
            </a:ext>
          </a:extLst>
        </xdr:cNvPr>
        <xdr:cNvSpPr/>
      </xdr:nvSpPr>
      <xdr:spPr>
        <a:xfrm>
          <a:off x="4685488" y="0"/>
          <a:ext cx="4466618" cy="3485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Daily Ultimo Data</a:t>
          </a:r>
          <a:r>
            <a:rPr lang="en-US" sz="1200" baseline="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 System Report   | </a:t>
          </a:r>
          <a:endParaRPr lang="en-US" sz="1200">
            <a:solidFill>
              <a:schemeClr val="accent5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10</xdr:col>
      <xdr:colOff>274387</xdr:colOff>
      <xdr:row>0</xdr:row>
      <xdr:rowOff>20061</xdr:rowOff>
    </xdr:from>
    <xdr:to>
      <xdr:col>12</xdr:col>
      <xdr:colOff>413426</xdr:colOff>
      <xdr:row>1</xdr:row>
      <xdr:rowOff>121595</xdr:rowOff>
    </xdr:to>
    <xdr:sp macro="" textlink="$F$9">
      <xdr:nvSpPr>
        <xdr:cNvPr id="40" name="TextBox 39">
          <a:extLst>
            <a:ext uri="{FF2B5EF4-FFF2-40B4-BE49-F238E27FC236}">
              <a16:creationId xmlns:a16="http://schemas.microsoft.com/office/drawing/2014/main" id="{65DCA073-6390-4117-98F5-5A332B87C40A}"/>
            </a:ext>
          </a:extLst>
        </xdr:cNvPr>
        <xdr:cNvSpPr txBox="1"/>
      </xdr:nvSpPr>
      <xdr:spPr>
        <a:xfrm>
          <a:off x="7740366" y="20061"/>
          <a:ext cx="1354996" cy="287981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ECA980B-F2DF-4C7F-9B4A-478288C2FDEE}" type="TxLink">
            <a:rPr lang="en-US" sz="1200" b="1" i="0" u="none" strike="noStrike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  <a:ea typeface="Calibri"/>
              <a:cs typeface="Times New Roman"/>
            </a:rPr>
            <a:pPr/>
            <a:t>10-Oct-2024</a:t>
          </a:fld>
          <a:endParaRPr lang="en-US" sz="2000" b="1" i="0" u="none" strike="noStrike">
            <a:solidFill>
              <a:schemeClr val="accent5">
                <a:lumMod val="50000"/>
              </a:schemeClr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0.365</cdr:x>
      <cdr:y>0.38889</cdr:y>
    </cdr:from>
    <cdr:to>
      <cdr:x>0.63833</cdr:x>
      <cdr:y>0.625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B8519-2B12-94F2-8375-6445A4FA4656}"/>
            </a:ext>
          </a:extLst>
        </cdr:cNvPr>
        <cdr:cNvSpPr txBox="1"/>
      </cdr:nvSpPr>
      <cdr:spPr>
        <a:xfrm xmlns:a="http://schemas.openxmlformats.org/drawingml/2006/main">
          <a:off x="1668780" y="1066800"/>
          <a:ext cx="124968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0.365</cdr:x>
      <cdr:y>0.38889</cdr:y>
    </cdr:from>
    <cdr:to>
      <cdr:x>0.63833</cdr:x>
      <cdr:y>0.625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B8519-2B12-94F2-8375-6445A4FA4656}"/>
            </a:ext>
          </a:extLst>
        </cdr:cNvPr>
        <cdr:cNvSpPr txBox="1"/>
      </cdr:nvSpPr>
      <cdr:spPr>
        <a:xfrm xmlns:a="http://schemas.openxmlformats.org/drawingml/2006/main">
          <a:off x="1668780" y="1066800"/>
          <a:ext cx="124968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0</xdr:row>
      <xdr:rowOff>38100</xdr:rowOff>
    </xdr:from>
    <xdr:to>
      <xdr:col>4</xdr:col>
      <xdr:colOff>411480</xdr:colOff>
      <xdr:row>6</xdr:row>
      <xdr:rowOff>99060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04BABE7-2DC8-7AB8-13A0-38846D328136}"/>
            </a:ext>
          </a:extLst>
        </xdr:cNvPr>
        <xdr:cNvGrpSpPr/>
      </xdr:nvGrpSpPr>
      <xdr:grpSpPr>
        <a:xfrm>
          <a:off x="2057400" y="38100"/>
          <a:ext cx="1493520" cy="1158240"/>
          <a:chOff x="4884420" y="1226820"/>
          <a:chExt cx="4027487" cy="27051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A31DD5A8-225B-119D-BF02-10C507FE269D}"/>
              </a:ext>
            </a:extLst>
          </xdr:cNvPr>
          <xdr:cNvGraphicFramePr/>
        </xdr:nvGraphicFramePr>
        <xdr:xfrm>
          <a:off x="4884420" y="1226820"/>
          <a:ext cx="4027487" cy="2705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B$2">
        <xdr:nvSpPr>
          <xdr:cNvPr id="4" name="TextBox 3">
            <a:extLst>
              <a:ext uri="{FF2B5EF4-FFF2-40B4-BE49-F238E27FC236}">
                <a16:creationId xmlns:a16="http://schemas.microsoft.com/office/drawing/2014/main" id="{4B682811-75E5-79D7-831C-37779C477CD6}"/>
              </a:ext>
            </a:extLst>
          </xdr:cNvPr>
          <xdr:cNvSpPr txBox="1"/>
        </xdr:nvSpPr>
        <xdr:spPr>
          <a:xfrm>
            <a:off x="6251892" y="2311607"/>
            <a:ext cx="1273810" cy="51691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EB0416A-25AF-48A9-9292-FDCDF0460EAA}" type="TxLink">
              <a:rPr lang="en-US" sz="1000" b="1" i="0" u="none" strike="noStrike">
                <a:solidFill>
                  <a:schemeClr val="accent1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algn="ctr"/>
              <a:t>89%</a:t>
            </a:fld>
            <a:endParaRPr lang="en-US" sz="1000" b="1">
              <a:solidFill>
                <a:schemeClr val="accent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11</xdr:row>
      <xdr:rowOff>38100</xdr:rowOff>
    </xdr:from>
    <xdr:to>
      <xdr:col>6</xdr:col>
      <xdr:colOff>205740</xdr:colOff>
      <xdr:row>21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4BC72A-D061-B22A-EC5F-7114BE4CB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0.365</cdr:x>
      <cdr:y>0.38889</cdr:y>
    </cdr:from>
    <cdr:to>
      <cdr:x>0.63833</cdr:x>
      <cdr:y>0.625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9B8519-2B12-94F2-8375-6445A4FA4656}"/>
            </a:ext>
          </a:extLst>
        </cdr:cNvPr>
        <cdr:cNvSpPr txBox="1"/>
      </cdr:nvSpPr>
      <cdr:spPr>
        <a:xfrm xmlns:a="http://schemas.openxmlformats.org/drawingml/2006/main">
          <a:off x="1668780" y="1066800"/>
          <a:ext cx="124968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67.507093055552" createdVersion="8" refreshedVersion="8" minRefreshableVersion="3" recordCount="37" xr:uid="{DF476260-F01F-4598-AD54-32066C38A4C2}">
  <cacheSource type="worksheet">
    <worksheetSource ref="A1:Q38" sheet="Shift-A"/>
  </cacheSource>
  <cacheFields count="17">
    <cacheField name="S/L" numFmtId="0">
      <sharedItems containsSemiMixedTypes="0" containsString="0" containsNumber="1" containsInteger="1" minValue="1" maxValue="37"/>
    </cacheField>
    <cacheField name="M/c No." numFmtId="0">
      <sharedItems containsSemiMixedTypes="0" containsString="0" containsNumber="1" containsInteger="1" minValue="1" maxValue="43"/>
    </cacheField>
    <cacheField name="Count and Material" numFmtId="0">
      <sharedItems containsBlank="1" count="17">
        <s v="6.25 lbs-6.25/ lbs HG"/>
        <s v="10.0 lbs-10/1 lbs CRT"/>
        <s v="13.0 lbs-13/1 lbs CRT"/>
        <s v="6.0 lbs-6/1 lbs CRX"/>
        <s v="8.0 lbs-8/1 Lbs IG"/>
        <s v="7.25 lbs-7.25 /1 lbs CRT"/>
        <s v="14.0 lbs-14/1 H"/>
        <s v="7.0 lbs-7.7/1 lbs CRT"/>
        <s v="7.7 lbs-7.7/1 CRT"/>
        <s v="8.25 lbs-8.25/1 lbs HES"/>
        <s v="7.0 lbs-7/1 W"/>
        <s v="9.0 lbs-9/1 CRT"/>
        <s v="8.5 lbs-8.50 H" u="1"/>
        <s v="8.25 lbs-8.25/1 W" u="1"/>
        <m u="1"/>
        <s v="8.0 lbs-8 /1 lbs NAR" u="1"/>
        <s v="7.7 lbs-7.7 lbs / 1" u="1"/>
      </sharedItems>
    </cacheField>
    <cacheField name="AEF %" numFmtId="0">
      <sharedItems containsSemiMixedTypes="0" containsString="0" containsNumber="1" minValue="52.55" maxValue="83.5"/>
    </cacheField>
    <cacheField name="util %" numFmtId="0">
      <sharedItems containsSemiMixedTypes="0" containsString="0" containsNumber="1" minValue="63.28" maxValue="97.86"/>
    </cacheField>
    <cacheField name="stop %" numFmtId="0">
      <sharedItems containsSemiMixedTypes="0" containsString="0" containsNumber="1" minValue="2.14" maxValue="36.72"/>
    </cacheField>
    <cacheField name="spndl Down Time %" numFmtId="0">
      <sharedItems containsSemiMixedTypes="0" containsString="0" containsNumber="1" minValue="1.55" maxValue="16.93"/>
    </cacheField>
    <cacheField name="% loss idle" numFmtId="0">
      <sharedItems containsSemiMixedTypes="0" containsString="0" containsNumber="1" minValue="1.01" maxValue="16.559999999999999"/>
    </cacheField>
    <cacheField name="Doffing %" numFmtId="0">
      <sharedItems containsSemiMixedTypes="0" containsString="0" containsNumber="1" minValue="0" maxValue="18.489999999999998"/>
    </cacheField>
    <cacheField name="min/doff" numFmtId="0">
      <sharedItems containsSemiMixedTypes="0" containsString="0" containsNumber="1" minValue="0" maxValue="14.7"/>
    </cacheField>
    <cacheField name="eb/100sh" numFmtId="0">
      <sharedItems containsSemiMixedTypes="0" containsString="0" containsNumber="1" minValue="3.34" maxValue="46.34"/>
    </cacheField>
    <cacheField name="eb total" numFmtId="0">
      <sharedItems containsSemiMixedTypes="0" containsString="0" containsNumber="1" containsInteger="1" minValue="95" maxValue="529"/>
    </cacheField>
    <cacheField name="eb idle" numFmtId="0">
      <sharedItems containsSemiMixedTypes="0" containsString="0" containsNumber="1" containsInteger="1" minValue="24" maxValue="250"/>
    </cacheField>
    <cacheField name="doffs" numFmtId="0">
      <sharedItems containsSemiMixedTypes="0" containsString="0" containsNumber="1" containsInteger="1" minValue="3" maxValue="15"/>
    </cacheField>
    <cacheField name="kg" numFmtId="0">
      <sharedItems containsSemiMixedTypes="0" containsString="0" containsNumber="1" minValue="118.87" maxValue="488.65"/>
    </cacheField>
    <cacheField name="m/min" numFmtId="0">
      <sharedItems containsSemiMixedTypes="0" containsString="0" containsNumber="1" minValue="13.41" maxValue="25.79"/>
    </cacheField>
    <cacheField name="Actual Count" numFmtId="0">
      <sharedItems containsSemiMixedTypes="0" containsString="0" containsNumber="1" minValue="6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1"/>
    <n v="1"/>
    <x v="0"/>
    <n v="69.84"/>
    <n v="84.44"/>
    <n v="15.56"/>
    <n v="1.55"/>
    <n v="1.01"/>
    <n v="13.05"/>
    <n v="12.3"/>
    <n v="9.1999999999999993"/>
    <n v="101"/>
    <n v="24"/>
    <n v="5"/>
    <n v="161.88"/>
    <n v="19.190000000000001"/>
    <n v="6.25"/>
  </r>
  <r>
    <n v="2"/>
    <n v="3"/>
    <x v="1"/>
    <n v="57.38"/>
    <n v="86.27"/>
    <n v="13.73"/>
    <n v="15.13"/>
    <n v="14.94"/>
    <n v="13.77"/>
    <n v="5"/>
    <n v="3.34"/>
    <n v="158"/>
    <n v="122"/>
    <n v="13"/>
    <n v="281.60000000000002"/>
    <n v="25.23"/>
    <n v="10"/>
  </r>
  <r>
    <n v="3"/>
    <n v="4"/>
    <x v="1"/>
    <n v="64.8"/>
    <n v="84.28"/>
    <n v="15.72"/>
    <n v="8.58"/>
    <n v="8.17"/>
    <n v="10.9"/>
    <n v="3.9"/>
    <n v="5.42"/>
    <n v="163"/>
    <n v="120"/>
    <n v="13"/>
    <n v="313.26"/>
    <n v="25.41"/>
    <n v="10"/>
  </r>
  <r>
    <n v="4"/>
    <n v="5"/>
    <x v="2"/>
    <n v="73.39"/>
    <n v="91.15"/>
    <n v="8.85"/>
    <n v="7.52"/>
    <n v="6.78"/>
    <n v="10.24"/>
    <n v="3.6"/>
    <n v="7.56"/>
    <n v="201"/>
    <n v="99"/>
    <n v="13"/>
    <n v="447.65"/>
    <n v="25.03"/>
    <n v="13"/>
  </r>
  <r>
    <n v="5"/>
    <n v="6"/>
    <x v="1"/>
    <n v="73.63"/>
    <n v="85.81"/>
    <n v="14.19"/>
    <n v="4.83"/>
    <n v="4.3"/>
    <n v="7.35"/>
    <n v="2.7"/>
    <n v="4.9400000000000004"/>
    <n v="178"/>
    <n v="91"/>
    <n v="13"/>
    <n v="366.59"/>
    <n v="25.48"/>
    <n v="10"/>
  </r>
  <r>
    <n v="6"/>
    <n v="7"/>
    <x v="2"/>
    <n v="56.68"/>
    <n v="77.14"/>
    <n v="22.86"/>
    <n v="6.46"/>
    <n v="5.81"/>
    <n v="14.01"/>
    <n v="5.7"/>
    <n v="9.68"/>
    <n v="155"/>
    <n v="83"/>
    <n v="9"/>
    <n v="277.29000000000002"/>
    <n v="25"/>
    <n v="13"/>
  </r>
  <r>
    <n v="7"/>
    <n v="8"/>
    <x v="2"/>
    <n v="74.41"/>
    <n v="91.4"/>
    <n v="8.6"/>
    <n v="6.44"/>
    <n v="5.5"/>
    <n v="10.56"/>
    <n v="3.6"/>
    <n v="8.92"/>
    <n v="229"/>
    <n v="112"/>
    <n v="14"/>
    <n v="488.65"/>
    <n v="25.79"/>
    <n v="13"/>
  </r>
  <r>
    <n v="8"/>
    <n v="9"/>
    <x v="3"/>
    <n v="81.47"/>
    <n v="97.64"/>
    <n v="2.36"/>
    <n v="9.5500000000000007"/>
    <n v="8.81"/>
    <n v="6.61"/>
    <n v="6.3"/>
    <n v="9.2899999999999991"/>
    <n v="203"/>
    <n v="92"/>
    <n v="5"/>
    <n v="151.54"/>
    <n v="15.81"/>
    <n v="6"/>
  </r>
  <r>
    <n v="9"/>
    <n v="10"/>
    <x v="2"/>
    <n v="78.599999999999994"/>
    <n v="94.13"/>
    <n v="5.87"/>
    <n v="6.18"/>
    <n v="5.59"/>
    <n v="9.35"/>
    <n v="3.4"/>
    <n v="13.76"/>
    <n v="260"/>
    <n v="109"/>
    <n v="13"/>
    <n v="431.11"/>
    <n v="21.66"/>
    <n v="13"/>
  </r>
  <r>
    <n v="10"/>
    <n v="11"/>
    <x v="2"/>
    <n v="77.31"/>
    <n v="89.18"/>
    <n v="10.82"/>
    <n v="6.42"/>
    <n v="5.69"/>
    <n v="5.45"/>
    <n v="2"/>
    <n v="6.01"/>
    <n v="203"/>
    <n v="110"/>
    <n v="13"/>
    <n v="431.07"/>
    <n v="22.35"/>
    <n v="13"/>
  </r>
  <r>
    <n v="11"/>
    <n v="13"/>
    <x v="2"/>
    <n v="57.71"/>
    <n v="77.06"/>
    <n v="22.94"/>
    <n v="9.91"/>
    <n v="4.84"/>
    <n v="9.44"/>
    <n v="3"/>
    <n v="9.3800000000000008"/>
    <n v="204"/>
    <n v="79"/>
    <n v="15"/>
    <n v="337.75"/>
    <n v="23.26"/>
    <n v="13"/>
  </r>
  <r>
    <n v="12"/>
    <n v="15"/>
    <x v="1"/>
    <n v="78.13"/>
    <n v="88.87"/>
    <n v="11.13"/>
    <n v="7.18"/>
    <n v="6.8"/>
    <n v="3.56"/>
    <n v="2.8"/>
    <n v="4.68"/>
    <n v="156"/>
    <n v="104"/>
    <n v="6"/>
    <n v="305.24"/>
    <n v="20.04"/>
    <n v="10"/>
  </r>
  <r>
    <n v="13"/>
    <n v="16"/>
    <x v="1"/>
    <n v="74.459999999999994"/>
    <n v="86.8"/>
    <n v="13.2"/>
    <n v="3.79"/>
    <n v="3.06"/>
    <n v="8.5500000000000007"/>
    <n v="5.0999999999999996"/>
    <n v="10.29"/>
    <n v="144"/>
    <n v="42"/>
    <n v="8"/>
    <n v="304.32"/>
    <n v="20.88"/>
    <n v="10"/>
  </r>
  <r>
    <n v="14"/>
    <n v="17"/>
    <x v="4"/>
    <n v="58.74"/>
    <n v="79.180000000000007"/>
    <n v="20.82"/>
    <n v="11.58"/>
    <n v="10.59"/>
    <n v="8.85"/>
    <n v="7"/>
    <n v="14.83"/>
    <n v="238"/>
    <n v="112"/>
    <n v="6"/>
    <n v="194.57"/>
    <n v="21.3"/>
    <n v="8"/>
  </r>
  <r>
    <n v="15"/>
    <n v="18"/>
    <x v="4"/>
    <n v="54.96"/>
    <n v="65.430000000000007"/>
    <n v="34.57"/>
    <n v="10.47"/>
    <n v="9.18"/>
    <n v="0"/>
    <n v="0"/>
    <n v="27.09"/>
    <n v="311"/>
    <n v="145"/>
    <n v="8"/>
    <n v="171.67"/>
    <n v="20.37"/>
    <n v="8"/>
  </r>
  <r>
    <n v="16"/>
    <n v="19"/>
    <x v="4"/>
    <n v="65.099999999999994"/>
    <n v="74.319999999999993"/>
    <n v="25.68"/>
    <n v="5.53"/>
    <n v="5.0599999999999996"/>
    <n v="3.69"/>
    <n v="2.9"/>
    <n v="8.81"/>
    <n v="155"/>
    <n v="88"/>
    <n v="6"/>
    <n v="207.24"/>
    <n v="20.5"/>
    <n v="8"/>
  </r>
  <r>
    <n v="17"/>
    <n v="20"/>
    <x v="4"/>
    <n v="57.05"/>
    <n v="79.12"/>
    <n v="20.88"/>
    <n v="7.34"/>
    <n v="6.8"/>
    <n v="14.74"/>
    <n v="11.7"/>
    <n v="8.68"/>
    <n v="163"/>
    <n v="93"/>
    <n v="6"/>
    <n v="178.35"/>
    <n v="20.12"/>
    <n v="8"/>
  </r>
  <r>
    <n v="18"/>
    <n v="21"/>
    <x v="4"/>
    <n v="63.49"/>
    <n v="82.19"/>
    <n v="17.809999999999999"/>
    <n v="8.06"/>
    <n v="7.56"/>
    <n v="10.64"/>
    <n v="8.4"/>
    <n v="6.17"/>
    <n v="157"/>
    <n v="88"/>
    <n v="6"/>
    <n v="201"/>
    <n v="20.329999999999998"/>
    <n v="8"/>
  </r>
  <r>
    <n v="19"/>
    <n v="22"/>
    <x v="4"/>
    <n v="60.2"/>
    <n v="87.88"/>
    <n v="12.12"/>
    <n v="9.18"/>
    <n v="8.66"/>
    <n v="18.489999999999998"/>
    <n v="14.7"/>
    <n v="4.9800000000000004"/>
    <n v="132"/>
    <n v="75"/>
    <n v="6"/>
    <n v="190.56"/>
    <n v="20.260000000000002"/>
    <n v="8"/>
  </r>
  <r>
    <n v="20"/>
    <n v="23"/>
    <x v="4"/>
    <n v="65.67"/>
    <n v="88.84"/>
    <n v="11.16"/>
    <n v="13.28"/>
    <n v="12.98"/>
    <n v="9.89"/>
    <n v="7.8"/>
    <n v="4"/>
    <n v="142"/>
    <n v="104"/>
    <n v="6"/>
    <n v="208.49"/>
    <n v="20.39"/>
    <n v="8"/>
  </r>
  <r>
    <n v="21"/>
    <n v="24"/>
    <x v="4"/>
    <n v="63.78"/>
    <n v="87.67"/>
    <n v="12.33"/>
    <n v="11.49"/>
    <n v="10.71"/>
    <n v="12.4"/>
    <n v="9.9"/>
    <n v="10.72"/>
    <n v="205"/>
    <n v="119"/>
    <n v="6"/>
    <n v="208.52"/>
    <n v="20.92"/>
    <n v="8"/>
  </r>
  <r>
    <n v="22"/>
    <n v="25"/>
    <x v="4"/>
    <n v="83.5"/>
    <n v="97.86"/>
    <n v="2.14"/>
    <n v="7.13"/>
    <n v="6.25"/>
    <n v="7.23"/>
    <n v="4.9000000000000004"/>
    <n v="9.76"/>
    <n v="242"/>
    <n v="103"/>
    <n v="7"/>
    <n v="245.48"/>
    <n v="18.91"/>
    <n v="8"/>
  </r>
  <r>
    <n v="23"/>
    <n v="27"/>
    <x v="5"/>
    <n v="68.95"/>
    <n v="90.75"/>
    <n v="9.25"/>
    <n v="16.93"/>
    <n v="16.559999999999999"/>
    <n v="4.87"/>
    <n v="4.5999999999999996"/>
    <n v="4.54"/>
    <n v="188"/>
    <n v="145"/>
    <n v="5"/>
    <n v="171.47"/>
    <n v="17.64"/>
    <n v="7.25"/>
  </r>
  <r>
    <n v="24"/>
    <n v="30"/>
    <x v="1"/>
    <n v="78.209999999999994"/>
    <n v="89.47"/>
    <n v="10.53"/>
    <n v="3.99"/>
    <n v="3.36"/>
    <n v="7.27"/>
    <n v="4.3"/>
    <n v="7.77"/>
    <n v="147"/>
    <n v="56"/>
    <n v="8"/>
    <n v="323.33"/>
    <n v="21.16"/>
    <n v="10"/>
  </r>
  <r>
    <n v="25"/>
    <n v="31"/>
    <x v="1"/>
    <n v="76.73"/>
    <n v="89.3"/>
    <n v="10.7"/>
    <n v="5.14"/>
    <n v="4.7300000000000004"/>
    <n v="7.42"/>
    <n v="4.4000000000000004"/>
    <n v="4.21"/>
    <n v="95"/>
    <n v="43"/>
    <n v="8"/>
    <n v="313.61"/>
    <n v="20.88"/>
    <n v="10"/>
  </r>
  <r>
    <n v="26"/>
    <n v="32"/>
    <x v="6"/>
    <n v="73.84"/>
    <n v="91.62"/>
    <n v="8.3800000000000008"/>
    <n v="3.99"/>
    <n v="3.24"/>
    <n v="13.79"/>
    <n v="8.1999999999999993"/>
    <n v="13.03"/>
    <n v="167"/>
    <n v="47"/>
    <n v="8"/>
    <n v="428.49"/>
    <n v="21.39"/>
    <n v="14"/>
  </r>
  <r>
    <n v="27"/>
    <n v="33"/>
    <x v="4"/>
    <n v="62.24"/>
    <n v="84.58"/>
    <n v="15.42"/>
    <n v="15.02"/>
    <n v="14.33"/>
    <n v="7.32"/>
    <n v="5.8"/>
    <n v="7.97"/>
    <n v="250"/>
    <n v="167"/>
    <n v="6"/>
    <n v="184.68"/>
    <n v="19.39"/>
    <n v="8"/>
  </r>
  <r>
    <n v="28"/>
    <n v="34"/>
    <x v="7"/>
    <n v="75.94"/>
    <n v="92.96"/>
    <n v="7.04"/>
    <n v="10.44"/>
    <n v="10.06"/>
    <n v="6.58"/>
    <n v="5"/>
    <n v="5.24"/>
    <n v="183"/>
    <n v="121"/>
    <n v="6"/>
    <n v="203.45"/>
    <n v="18.760000000000002"/>
    <n v="7"/>
  </r>
  <r>
    <n v="29"/>
    <n v="35"/>
    <x v="8"/>
    <n v="68.63"/>
    <n v="88.62"/>
    <n v="11.38"/>
    <n v="12.23"/>
    <n v="11.62"/>
    <n v="7.76"/>
    <n v="6.1"/>
    <n v="8.61"/>
    <n v="220"/>
    <n v="134"/>
    <n v="6"/>
    <n v="199.31"/>
    <n v="19.440000000000001"/>
    <n v="7.7"/>
  </r>
  <r>
    <n v="30"/>
    <n v="36"/>
    <x v="7"/>
    <n v="68.47"/>
    <n v="93.84"/>
    <n v="6.16"/>
    <n v="10.62"/>
    <n v="9.92"/>
    <n v="14.75"/>
    <n v="11.4"/>
    <n v="9.43"/>
    <n v="229"/>
    <n v="148"/>
    <n v="6"/>
    <n v="193.29"/>
    <n v="19.37"/>
    <n v="7"/>
  </r>
  <r>
    <n v="31"/>
    <n v="37"/>
    <x v="8"/>
    <n v="78.98"/>
    <n v="93.07"/>
    <n v="6.93"/>
    <n v="5.6"/>
    <n v="5.08"/>
    <n v="8.49"/>
    <n v="4.3"/>
    <n v="7.08"/>
    <n v="108"/>
    <n v="50"/>
    <n v="8"/>
    <n v="147.41"/>
    <n v="14.48"/>
    <n v="7.7"/>
  </r>
  <r>
    <n v="32"/>
    <n v="38"/>
    <x v="9"/>
    <n v="71.88"/>
    <n v="91.08"/>
    <n v="8.92"/>
    <n v="6.87"/>
    <n v="5.44"/>
    <n v="12.34"/>
    <n v="5.4"/>
    <n v="19.71"/>
    <n v="238"/>
    <n v="76"/>
    <n v="9"/>
    <n v="153.1"/>
    <n v="16.05"/>
    <n v="8.25"/>
  </r>
  <r>
    <n v="33"/>
    <n v="39"/>
    <x v="9"/>
    <n v="76.83"/>
    <n v="92.2"/>
    <n v="7.8"/>
    <n v="8.77"/>
    <n v="7.35"/>
    <n v="6.6"/>
    <n v="4.8"/>
    <n v="15.61"/>
    <n v="262"/>
    <n v="103"/>
    <n v="6"/>
    <n v="181.33"/>
    <n v="16.100000000000001"/>
    <n v="8.25"/>
  </r>
  <r>
    <n v="34"/>
    <n v="40"/>
    <x v="10"/>
    <n v="74.08"/>
    <n v="86.16"/>
    <n v="13.84"/>
    <n v="12.08"/>
    <n v="9.61"/>
    <n v="0"/>
    <n v="0"/>
    <n v="46.34"/>
    <n v="479"/>
    <n v="147"/>
    <n v="6"/>
    <n v="123.58"/>
    <n v="14"/>
    <n v="7"/>
  </r>
  <r>
    <n v="35"/>
    <n v="41"/>
    <x v="10"/>
    <n v="69.03"/>
    <n v="87.67"/>
    <n v="12.33"/>
    <n v="10.84"/>
    <n v="8.6300000000000008"/>
    <n v="7.81"/>
    <n v="7"/>
    <n v="24.32"/>
    <n v="406"/>
    <n v="180"/>
    <n v="5"/>
    <n v="118.87"/>
    <n v="13.41"/>
    <n v="7"/>
  </r>
  <r>
    <n v="36"/>
    <n v="42"/>
    <x v="11"/>
    <n v="52.55"/>
    <n v="63.28"/>
    <n v="36.72"/>
    <n v="6.36"/>
    <n v="5.58"/>
    <n v="4.37"/>
    <n v="6.3"/>
    <n v="17.309999999999999"/>
    <n v="218"/>
    <n v="105"/>
    <n v="3"/>
    <n v="135.27000000000001"/>
    <n v="16.190000000000001"/>
    <n v="9"/>
  </r>
  <r>
    <n v="37"/>
    <n v="43"/>
    <x v="10"/>
    <n v="68.14"/>
    <n v="97.01"/>
    <n v="2.99"/>
    <n v="13.41"/>
    <n v="11.52"/>
    <n v="15.47"/>
    <n v="6.5"/>
    <n v="32.51"/>
    <n v="529"/>
    <n v="250"/>
    <n v="11"/>
    <n v="125.47"/>
    <n v="13.96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36338-ECE0-4007-AB72-3254339299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0" firstDataRow="1" firstDataCol="1"/>
  <pivotFields count="17">
    <pivotField showAll="0"/>
    <pivotField showAll="0"/>
    <pivotField axis="axisRow" showAll="0">
      <items count="18">
        <item x="1"/>
        <item x="6"/>
        <item x="3"/>
        <item x="7"/>
        <item x="5"/>
        <item m="1" x="16"/>
        <item x="8"/>
        <item m="1" x="15"/>
        <item x="4"/>
        <item x="9"/>
        <item x="2"/>
        <item m="1" x="12"/>
        <item m="1" x="13"/>
        <item x="11"/>
        <item m="1" x="14"/>
        <item x="0"/>
        <item x="10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3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EF %" fld="3" subtotal="average" baseField="2" baseItem="0"/>
    <dataField name="Average of stop %" fld="5" subtotal="average" baseField="2" baseItem="0"/>
    <dataField name="Sum of doffs" fld="13" baseField="2" baseItem="0"/>
    <dataField name="Count of Actual Count" fld="1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6C1BD6-5018-4E57-B6C5-7373AEB27B89}" name="Table8" displayName="Table8" ref="E9:H19" headerRowDxfId="14" dataDxfId="13" totalsRowDxfId="12" dataCellStyle="Comma">
  <autoFilter ref="E9:H19" xr:uid="{FE6C1BD6-5018-4E57-B6C5-7373AEB27B89}">
    <filterColumn colId="0" hiddenButton="1"/>
    <filterColumn colId="1" hiddenButton="1"/>
    <filterColumn colId="2" hiddenButton="1"/>
    <filterColumn colId="3" hiddenButton="1"/>
  </autoFilter>
  <tableColumns count="4">
    <tableColumn id="1" xr3:uid="{5C45A625-670C-4D7A-86F6-1996748D916C}" name="Particular" totalsRowLabel="Total" dataDxfId="11"/>
    <tableColumn id="2" xr3:uid="{38345A05-F489-4F69-B2D6-76D1648733BC}" name="10-Oct-2024" dataDxfId="10" dataCellStyle="Comma"/>
    <tableColumn id="3" xr3:uid="{F10301BE-E591-4411-BF89-AB96D1AAB88E}" name="9-Oct-20242" dataDxfId="9" dataCellStyle="Comma"/>
    <tableColumn id="4" xr3:uid="{8BAEFC93-4E8E-4360-B0A9-90BCA9A2901B}" name="8-Oct-2024" totalsRowFunction="sum" dataDxfId="8" dataCellStyle="Comma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C217A57-128C-4BCD-8B79-8BB3BB41B10B}" name="Table10" displayName="Table10" ref="E21:H31" totalsRowShown="0" headerRowDxfId="7" dataDxfId="6" dataCellStyle="Comma">
  <autoFilter ref="E21:H31" xr:uid="{AC217A57-128C-4BCD-8B79-8BB3BB41B10B}">
    <filterColumn colId="0" hiddenButton="1"/>
    <filterColumn colId="1" hiddenButton="1"/>
    <filterColumn colId="2" hiddenButton="1"/>
    <filterColumn colId="3" hiddenButton="1"/>
  </autoFilter>
  <tableColumns count="4">
    <tableColumn id="1" xr3:uid="{18FFF412-90BB-45FB-B6DF-FBCCE0CC5B2A}" name="Particular" dataDxfId="5"/>
    <tableColumn id="2" xr3:uid="{3C9F3ACF-E7FB-4EED-814D-8ED685B3DFBC}" name="R/A" dataDxfId="4" dataCellStyle="Comma"/>
    <tableColumn id="3" xr3:uid="{57D74D54-7498-4F1F-8809-C70A34FCF9F5}" name="R/B" dataDxfId="3" dataCellStyle="Comma"/>
    <tableColumn id="4" xr3:uid="{7ECA640B-1F54-475B-B999-7D2952CAE1C5}" name="R/C" dataDxfId="2" dataCellStyle="Comma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F8B3AF-A2D6-498C-9F73-019ED59C84DD}" name="Table3" displayName="Table3" ref="A1:B3" totalsRowShown="0">
  <autoFilter ref="A1:B3" xr:uid="{D9F8B3AF-A2D6-498C-9F73-019ED59C84DD}"/>
  <tableColumns count="2">
    <tableColumn id="1" xr3:uid="{EDF5F44B-4CD1-43CC-9C73-AFC6210B762D}" name="Criteria"/>
    <tableColumn id="2" xr3:uid="{8E4E25E4-CCD0-4748-A5DA-67E132E6912C}" name="Percent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5C5EC2-545A-4DA5-BF87-2690E42F6650}" name="Table4" displayName="Table4" ref="A23:B35" totalsRowShown="0">
  <autoFilter ref="A23:B35" xr:uid="{9E5C5EC2-545A-4DA5-BF87-2690E42F6650}">
    <filterColumn colId="0">
      <filters>
        <filter val="01/10"/>
        <filter val="02/10"/>
        <filter val="03/10"/>
        <filter val="22/09"/>
        <filter val="23/09"/>
        <filter val="24/09"/>
        <filter val="25/09"/>
        <filter val="26/09"/>
        <filter val="28/09"/>
        <filter val="29/09"/>
        <filter val="30/09"/>
      </filters>
    </filterColumn>
  </autoFilter>
  <sortState xmlns:xlrd2="http://schemas.microsoft.com/office/spreadsheetml/2017/richdata2" ref="A24:B24">
    <sortCondition ref="A23:A24"/>
  </sortState>
  <tableColumns count="2">
    <tableColumn id="1" xr3:uid="{5EBAFD63-D865-4695-8EFB-818AF3481A23}" name="Date" dataDxfId="1"/>
    <tableColumn id="2" xr3:uid="{BCB6BAB9-05D6-4623-8040-712B1E47F37C}" name="Efficiency" dataDxfId="0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8A7CFC-80CE-46E9-A5BC-25B4F5259CDB}" name="Table2" displayName="Table2" ref="A1:K4" totalsRowShown="0">
  <autoFilter ref="A1:K4" xr:uid="{F88A7CFC-80CE-46E9-A5BC-25B4F5259CDB}"/>
  <tableColumns count="11">
    <tableColumn id="1" xr3:uid="{0BA38EB3-3704-4488-AE9E-936A7BB938C8}" name="Particular"/>
    <tableColumn id="2" xr3:uid="{95715F63-C72A-41B2-9A9A-C564EB2D9BC8}" name="Total Running Frame"/>
    <tableColumn id="3" xr3:uid="{CE7AEFA8-0308-47D1-9464-ED97730A85F4}" name="Avg. Efficiency %">
      <calculatedColumnFormula>'Main Dashboard'!F23</calculatedColumnFormula>
    </tableColumn>
    <tableColumn id="4" xr3:uid="{41567900-DC72-4F3A-8479-17BD64808E12}" name="Avg. Count"/>
    <tableColumn id="5" xr3:uid="{93FBCB3D-FE97-40C3-8073-94066D5C0B4F}" name="Achieved production (kg)"/>
    <tableColumn id="6" xr3:uid="{2FBF721E-F3C1-49B3-8760-8521462DC426}" name="Loss Idle %"/>
    <tableColumn id="7" xr3:uid="{1A2ED6DC-091D-48DB-BF8D-8416470B7F17}" name="Eb/100 Spindle Hour"/>
    <tableColumn id="8" xr3:uid="{1729B2AB-4C25-491A-AA74-6B33D68A3D14}" name="Total Doffing Detected"/>
    <tableColumn id="9" xr3:uid="{57D04119-E23D-4D0D-BDBC-15D92A79359D}" name="Avg Minutes Per Doff"/>
    <tableColumn id="10" xr3:uid="{E4A01636-4566-48EF-A3CA-5028929A9028}" name="Stop %"/>
    <tableColumn id="11" xr3:uid="{3EABEF1D-580C-43B8-915A-FA1BEA432718}" name="Total End breaka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5F89358-525A-4D46-8BFA-D557012BE4AC}">
  <we:reference id="wa104379279" version="2.1.0.0" store="en-US" storeType="OMEX"/>
  <we:alternateReferences>
    <we:reference id="WA104379279" version="2.1.0.0" store="WA10437927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D96791E-D24E-4108-A9FB-660A2769134A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B05E2-5BF6-40D1-8A72-54BB40231484}">
  <sheetPr codeName="Sheet1"/>
  <dimension ref="A3:J54"/>
  <sheetViews>
    <sheetView showRowColHeaders="0" zoomScale="85" zoomScaleNormal="85" workbookViewId="0">
      <selection activeCell="X5" sqref="X5"/>
    </sheetView>
  </sheetViews>
  <sheetFormatPr defaultColWidth="8.88671875" defaultRowHeight="14.4" x14ac:dyDescent="0.3"/>
  <cols>
    <col min="1" max="1" width="3.44140625" style="100" customWidth="1"/>
    <col min="2" max="2" width="6.33203125" style="100" customWidth="1"/>
    <col min="3" max="3" width="5.88671875" style="100" customWidth="1"/>
    <col min="4" max="4" width="7.88671875" style="100" customWidth="1"/>
    <col min="5" max="5" width="23.88671875" style="100" bestFit="1" customWidth="1"/>
    <col min="6" max="8" width="14.5546875" style="100" customWidth="1"/>
    <col min="9" max="16384" width="8.88671875" style="100"/>
  </cols>
  <sheetData>
    <row r="3" spans="2:10" x14ac:dyDescent="0.3">
      <c r="B3" s="81"/>
      <c r="C3" s="81"/>
      <c r="D3" s="81"/>
      <c r="E3" s="81"/>
      <c r="F3" s="81"/>
      <c r="G3" s="81"/>
      <c r="H3" s="81"/>
      <c r="I3" s="81"/>
    </row>
    <row r="4" spans="2:10" x14ac:dyDescent="0.3">
      <c r="B4" s="81"/>
      <c r="C4" s="81"/>
      <c r="D4" s="81"/>
      <c r="E4" s="81"/>
      <c r="F4" s="81"/>
      <c r="G4" s="81"/>
      <c r="H4" s="81"/>
      <c r="I4" s="81"/>
    </row>
    <row r="5" spans="2:10" x14ac:dyDescent="0.3">
      <c r="B5" s="81"/>
      <c r="C5" s="81"/>
      <c r="D5" s="81"/>
      <c r="E5" s="81"/>
      <c r="F5" s="81"/>
      <c r="G5" s="81"/>
      <c r="H5" s="81"/>
      <c r="I5" s="81"/>
    </row>
    <row r="6" spans="2:10" x14ac:dyDescent="0.3">
      <c r="B6" s="81"/>
      <c r="C6" s="81"/>
      <c r="D6" s="81"/>
      <c r="E6" s="81"/>
      <c r="F6" s="81"/>
      <c r="G6" s="81"/>
      <c r="H6" s="81"/>
      <c r="I6" s="81"/>
      <c r="J6" s="81"/>
    </row>
    <row r="7" spans="2:10" x14ac:dyDescent="0.3">
      <c r="B7" s="81"/>
      <c r="C7" s="81"/>
      <c r="D7" s="81"/>
      <c r="E7" s="81"/>
      <c r="F7" s="81"/>
      <c r="G7" s="81"/>
      <c r="H7" s="81"/>
      <c r="I7" s="81"/>
      <c r="J7" s="81"/>
    </row>
    <row r="8" spans="2:10" x14ac:dyDescent="0.3">
      <c r="B8" s="81"/>
      <c r="C8" s="81"/>
      <c r="D8" s="81"/>
      <c r="E8" s="81"/>
      <c r="F8" s="81"/>
      <c r="G8" s="81"/>
      <c r="H8" s="81"/>
      <c r="I8" s="81"/>
      <c r="J8" s="81"/>
    </row>
    <row r="9" spans="2:10" ht="17.399999999999999" x14ac:dyDescent="0.3">
      <c r="B9" s="81"/>
      <c r="C9" s="81"/>
      <c r="D9" s="81"/>
      <c r="E9" s="104" t="s">
        <v>37</v>
      </c>
      <c r="F9" s="105" t="s">
        <v>151</v>
      </c>
      <c r="G9" s="105" t="s">
        <v>150</v>
      </c>
      <c r="H9" s="105" t="s">
        <v>149</v>
      </c>
      <c r="I9" s="81"/>
    </row>
    <row r="10" spans="2:10" ht="15.6" x14ac:dyDescent="0.3">
      <c r="B10" s="81"/>
      <c r="C10" s="81"/>
      <c r="D10" s="81"/>
      <c r="E10" s="89" t="s">
        <v>16</v>
      </c>
      <c r="F10" s="90">
        <f>F22+G22+H22</f>
        <v>111</v>
      </c>
      <c r="G10" s="90">
        <v>110</v>
      </c>
      <c r="H10" s="90">
        <v>111</v>
      </c>
      <c r="I10" s="81"/>
    </row>
    <row r="11" spans="2:10" ht="15.6" x14ac:dyDescent="0.3">
      <c r="B11" s="81"/>
      <c r="C11" s="81"/>
      <c r="D11" s="81"/>
      <c r="E11" s="89" t="s">
        <v>30</v>
      </c>
      <c r="F11" s="91">
        <f>(AVERAGE(F23,G23,H23))/100</f>
        <v>0.70388333333333331</v>
      </c>
      <c r="G11" s="91">
        <v>0.71793000000000007</v>
      </c>
      <c r="H11" s="91">
        <v>0.7089133333333334</v>
      </c>
      <c r="I11" s="81"/>
    </row>
    <row r="12" spans="2:10" ht="15.6" x14ac:dyDescent="0.3">
      <c r="B12" s="81"/>
      <c r="C12" s="81"/>
      <c r="D12" s="81"/>
      <c r="E12" s="89" t="s">
        <v>17</v>
      </c>
      <c r="F12" s="92">
        <f>AVERAGE(F24,G24,H24)</f>
        <v>9.58</v>
      </c>
      <c r="G12" s="92">
        <v>9.7066666666666652</v>
      </c>
      <c r="H12" s="92">
        <v>9.0000000000000018</v>
      </c>
      <c r="I12" s="81"/>
    </row>
    <row r="13" spans="2:10" ht="15.6" x14ac:dyDescent="0.3">
      <c r="B13" s="81"/>
      <c r="C13" s="81"/>
      <c r="D13" s="81"/>
      <c r="E13" s="89" t="s">
        <v>18</v>
      </c>
      <c r="F13" s="93">
        <f>SUM(F25,G25,H25)</f>
        <v>28803.82</v>
      </c>
      <c r="G13" s="93">
        <v>29917.109999999997</v>
      </c>
      <c r="H13" s="99">
        <v>27939.79</v>
      </c>
      <c r="I13" s="81"/>
    </row>
    <row r="14" spans="2:10" ht="15.6" x14ac:dyDescent="0.3">
      <c r="B14" s="81"/>
      <c r="C14" s="81"/>
      <c r="D14" s="81"/>
      <c r="E14" s="89" t="s">
        <v>124</v>
      </c>
      <c r="F14" s="98">
        <f>AVERAGE(F26,G26,H26)</f>
        <v>7.844666666666666</v>
      </c>
      <c r="G14" s="98">
        <v>7.7173333333333334</v>
      </c>
      <c r="H14" s="98">
        <v>7.4033333333333333</v>
      </c>
      <c r="I14" s="81"/>
    </row>
    <row r="15" spans="2:10" ht="15.6" x14ac:dyDescent="0.3">
      <c r="B15" s="81"/>
      <c r="C15" s="81"/>
      <c r="D15" s="81"/>
      <c r="E15" s="89" t="s">
        <v>33</v>
      </c>
      <c r="F15" s="94">
        <f>F27+G27+H27</f>
        <v>31.712</v>
      </c>
      <c r="G15" s="94">
        <v>32.796999999999997</v>
      </c>
      <c r="H15" s="94">
        <v>33.805999999999997</v>
      </c>
      <c r="I15" s="81"/>
    </row>
    <row r="16" spans="2:10" ht="15.6" x14ac:dyDescent="0.3">
      <c r="B16" s="81"/>
      <c r="C16" s="81"/>
      <c r="D16" s="81"/>
      <c r="E16" s="89" t="s">
        <v>19</v>
      </c>
      <c r="F16" s="90">
        <f>F28+G28+H28</f>
        <v>1020</v>
      </c>
      <c r="G16" s="90">
        <v>986</v>
      </c>
      <c r="H16" s="90">
        <v>939</v>
      </c>
      <c r="I16" s="81"/>
    </row>
    <row r="17" spans="2:9" ht="15.6" x14ac:dyDescent="0.3">
      <c r="B17" s="81"/>
      <c r="C17" s="81"/>
      <c r="D17" s="81"/>
      <c r="E17" s="89" t="s">
        <v>34</v>
      </c>
      <c r="F17" s="95">
        <f>AVERAGE(F29,G29,H29)</f>
        <v>5.9113333333333342</v>
      </c>
      <c r="G17" s="95">
        <v>5.2363333333333335</v>
      </c>
      <c r="H17" s="95">
        <v>4.9335000000000004</v>
      </c>
      <c r="I17" s="81"/>
    </row>
    <row r="18" spans="2:9" ht="15.6" x14ac:dyDescent="0.3">
      <c r="B18" s="81"/>
      <c r="C18" s="81"/>
      <c r="D18" s="81"/>
      <c r="E18" s="89" t="s">
        <v>25</v>
      </c>
      <c r="F18" s="90">
        <f>AVERAGE(F30,G30,H30)</f>
        <v>10.599666666666666</v>
      </c>
      <c r="G18" s="98">
        <v>10.112666666666668</v>
      </c>
      <c r="H18" s="98">
        <v>10.943</v>
      </c>
      <c r="I18" s="81"/>
    </row>
    <row r="19" spans="2:9" ht="15.6" x14ac:dyDescent="0.3">
      <c r="B19" s="81"/>
      <c r="C19" s="81"/>
      <c r="D19" s="81"/>
      <c r="E19" s="89" t="s">
        <v>35</v>
      </c>
      <c r="F19" s="90">
        <f>F31+G31+H31</f>
        <v>22329</v>
      </c>
      <c r="G19" s="90">
        <v>24073</v>
      </c>
      <c r="H19" s="90">
        <v>22443</v>
      </c>
      <c r="I19" s="81"/>
    </row>
    <row r="20" spans="2:9" x14ac:dyDescent="0.3">
      <c r="B20" s="81"/>
      <c r="C20" s="81"/>
      <c r="D20" s="81"/>
      <c r="E20" s="82"/>
      <c r="F20" s="83"/>
      <c r="G20" s="83"/>
      <c r="H20" s="83"/>
      <c r="I20" s="81"/>
    </row>
    <row r="21" spans="2:9" ht="17.399999999999999" x14ac:dyDescent="0.3">
      <c r="B21" s="81"/>
      <c r="C21" s="81"/>
      <c r="D21" s="81"/>
      <c r="E21" s="103" t="s">
        <v>37</v>
      </c>
      <c r="F21" s="103" t="s">
        <v>15</v>
      </c>
      <c r="G21" s="103" t="s">
        <v>29</v>
      </c>
      <c r="H21" s="103" t="s">
        <v>32</v>
      </c>
      <c r="I21" s="81"/>
    </row>
    <row r="22" spans="2:9" ht="15.6" x14ac:dyDescent="0.3">
      <c r="B22" s="81"/>
      <c r="C22" s="81"/>
      <c r="D22" s="81"/>
      <c r="E22" s="89" t="s">
        <v>16</v>
      </c>
      <c r="F22" s="90">
        <f>'Shift-A'!B48</f>
        <v>37</v>
      </c>
      <c r="G22" s="90">
        <f>'Shift-B'!B43</f>
        <v>37</v>
      </c>
      <c r="H22" s="90">
        <f>'Shift-C'!B44</f>
        <v>37</v>
      </c>
      <c r="I22" s="81"/>
    </row>
    <row r="23" spans="2:9" ht="15.6" x14ac:dyDescent="0.3">
      <c r="B23" s="81"/>
      <c r="C23" s="81"/>
      <c r="D23" s="81"/>
      <c r="E23" s="89" t="s">
        <v>30</v>
      </c>
      <c r="F23" s="96">
        <f>ROUND(AVERAGE('Shift-A'!D:D),3)</f>
        <v>70.370999999999995</v>
      </c>
      <c r="G23" s="96">
        <f>ROUND(AVERAGE('Shift-B'!D:D),3)</f>
        <v>72.728999999999999</v>
      </c>
      <c r="H23" s="96">
        <f>ROUND(AVERAGE('Shift-C'!D:D),3)</f>
        <v>68.064999999999998</v>
      </c>
      <c r="I23" s="81"/>
    </row>
    <row r="24" spans="2:9" ht="15.6" x14ac:dyDescent="0.3">
      <c r="B24" s="81"/>
      <c r="C24" s="81"/>
      <c r="D24" s="81"/>
      <c r="E24" s="89" t="s">
        <v>17</v>
      </c>
      <c r="F24" s="96">
        <f>ROUND(AVERAGE('Shift-A'!Q:Q),3)</f>
        <v>9.6240000000000006</v>
      </c>
      <c r="G24" s="96">
        <f>ROUND(AVERAGE('Shift-B'!Q:Q),3)</f>
        <v>9.593</v>
      </c>
      <c r="H24" s="96">
        <f>ROUND(AVERAGE('Shift-C'!Q:Q),3)</f>
        <v>9.5229999999999997</v>
      </c>
      <c r="I24" s="81"/>
    </row>
    <row r="25" spans="2:9" ht="15.6" x14ac:dyDescent="0.3">
      <c r="B25" s="81"/>
      <c r="C25" s="81"/>
      <c r="D25" s="81"/>
      <c r="E25" s="89" t="s">
        <v>18</v>
      </c>
      <c r="F25" s="96">
        <f>ROUND(SUM('Shift-A'!O:O),3)</f>
        <v>9718.61</v>
      </c>
      <c r="G25" s="96">
        <f>ROUND(SUM('Shift-B'!O:O),3)</f>
        <v>9872.39</v>
      </c>
      <c r="H25" s="96">
        <f>ROUND(SUM('Shift-C'!O:O),3)</f>
        <v>9212.82</v>
      </c>
      <c r="I25" s="81"/>
    </row>
    <row r="26" spans="2:9" ht="15.6" x14ac:dyDescent="0.3">
      <c r="B26" s="81"/>
      <c r="C26" s="81"/>
      <c r="D26" s="81"/>
      <c r="E26" s="89" t="s">
        <v>124</v>
      </c>
      <c r="F26" s="96">
        <f>ROUND(AVERAGE('Shift-A'!H:H),3)</f>
        <v>7.4569999999999999</v>
      </c>
      <c r="G26" s="96">
        <f>ROUND(AVERAGE('Shift-B'!H:H),3)</f>
        <v>8.0860000000000003</v>
      </c>
      <c r="H26" s="96">
        <f>ROUND(AVERAGE('Shift-C'!H:H),3)</f>
        <v>7.9909999999999997</v>
      </c>
      <c r="I26" s="81"/>
    </row>
    <row r="27" spans="2:9" ht="15.6" x14ac:dyDescent="0.3">
      <c r="B27" s="81"/>
      <c r="C27" s="81"/>
      <c r="D27" s="81"/>
      <c r="E27" s="89" t="s">
        <v>33</v>
      </c>
      <c r="F27" s="96">
        <f>ROUND(AVERAGE('Shift-A'!K:K),3)</f>
        <v>9.9480000000000004</v>
      </c>
      <c r="G27" s="96">
        <f>ROUND(AVERAGE('Shift-B'!K:K),3)</f>
        <v>10.965</v>
      </c>
      <c r="H27" s="96">
        <f>ROUND(AVERAGE('Shift-C'!K:K),3)</f>
        <v>10.798999999999999</v>
      </c>
      <c r="I27" s="81"/>
    </row>
    <row r="28" spans="2:9" ht="15.6" x14ac:dyDescent="0.3">
      <c r="B28" s="81"/>
      <c r="C28" s="81"/>
      <c r="D28" s="81"/>
      <c r="E28" s="89" t="s">
        <v>19</v>
      </c>
      <c r="F28" s="96">
        <f>ROUND(SUM('Shift-A'!N:N),3)</f>
        <v>348</v>
      </c>
      <c r="G28" s="96">
        <f>ROUND(SUM('Shift-B'!N:N),3)</f>
        <v>342</v>
      </c>
      <c r="H28" s="96">
        <f>ROUND(SUM('Shift-C'!N:N),3)</f>
        <v>330</v>
      </c>
      <c r="I28" s="81"/>
    </row>
    <row r="29" spans="2:9" ht="15.6" x14ac:dyDescent="0.3">
      <c r="B29" s="81"/>
      <c r="C29" s="81"/>
      <c r="D29" s="81"/>
      <c r="E29" s="89" t="s">
        <v>34</v>
      </c>
      <c r="F29" s="96">
        <f>ROUND(AVERAGE('Shift-A'!J:J),3)</f>
        <v>5.91</v>
      </c>
      <c r="G29" s="96">
        <f>ROUND(AVERAGE('Shift-B'!J:J),3)</f>
        <v>5.2859999999999996</v>
      </c>
      <c r="H29" s="96">
        <f>ROUND(AVERAGE('Shift-C'!J:J),3)</f>
        <v>6.5380000000000003</v>
      </c>
      <c r="I29" s="81"/>
    </row>
    <row r="30" spans="2:9" ht="15.6" x14ac:dyDescent="0.3">
      <c r="B30" s="81"/>
      <c r="C30" s="81"/>
      <c r="D30" s="81"/>
      <c r="E30" s="89" t="s">
        <v>25</v>
      </c>
      <c r="F30" s="96">
        <f>ROUND(AVERAGE('Shift-A'!F:F),3)</f>
        <v>10.901</v>
      </c>
      <c r="G30" s="96">
        <f>ROUND(AVERAGE('Shift-B'!F:F),3)</f>
        <v>8.6210000000000004</v>
      </c>
      <c r="H30" s="96">
        <f>ROUND(AVERAGE('Shift-C'!F:F),3)</f>
        <v>12.276999999999999</v>
      </c>
      <c r="I30" s="81"/>
    </row>
    <row r="31" spans="2:9" ht="15.6" x14ac:dyDescent="0.3">
      <c r="B31" s="81"/>
      <c r="C31" s="81"/>
      <c r="D31" s="81"/>
      <c r="E31" s="89" t="s">
        <v>35</v>
      </c>
      <c r="F31" s="96">
        <f>ROUND(SUM('Shift-A'!L:L),3)</f>
        <v>7337</v>
      </c>
      <c r="G31" s="96">
        <f>ROUND(SUM('Shift-B'!L:L),3)</f>
        <v>7834</v>
      </c>
      <c r="H31" s="96">
        <f>ROUND(SUM('Shift-C'!L:L),3)</f>
        <v>7158</v>
      </c>
      <c r="I31" s="81"/>
    </row>
    <row r="32" spans="2:9" x14ac:dyDescent="0.3">
      <c r="B32" s="81"/>
      <c r="C32" s="81"/>
      <c r="D32" s="81"/>
      <c r="E32" s="81"/>
      <c r="F32" s="81"/>
      <c r="G32" s="81"/>
      <c r="H32" s="81"/>
      <c r="I32" s="81"/>
    </row>
    <row r="33" spans="1:5" ht="15.6" x14ac:dyDescent="0.3">
      <c r="A33" s="102"/>
      <c r="B33" s="102"/>
      <c r="C33" s="102"/>
      <c r="D33" s="102"/>
      <c r="E33" s="102"/>
    </row>
    <row r="34" spans="1:5" ht="15.6" x14ac:dyDescent="0.3">
      <c r="A34" s="102"/>
      <c r="B34" s="102"/>
      <c r="C34" s="102"/>
      <c r="D34" s="102"/>
      <c r="E34" s="102"/>
    </row>
    <row r="54" spans="3:3" hidden="1" x14ac:dyDescent="0.3">
      <c r="C54" s="101">
        <f>Sheet6!B2</f>
        <v>0.89395398230088507</v>
      </c>
    </row>
  </sheetData>
  <pageMargins left="0.7" right="0.7" top="0.75" bottom="0.75" header="0.3" footer="0.3"/>
  <ignoredErrors>
    <ignoredError sqref="F13" formula="1"/>
  </ignoredErrors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7C87-0AC7-4CD7-A1FD-07199C15FFC0}">
  <sheetPr codeName="Sheet2"/>
  <dimension ref="A1:Q48"/>
  <sheetViews>
    <sheetView workbookViewId="0">
      <pane ySplit="1" topLeftCell="A8" activePane="bottomLeft" state="frozen"/>
      <selection pane="bottomLeft" activeCell="G42" sqref="G42"/>
    </sheetView>
  </sheetViews>
  <sheetFormatPr defaultRowHeight="14.4" x14ac:dyDescent="0.3"/>
  <cols>
    <col min="1" max="1" width="3.6640625" bestFit="1" customWidth="1"/>
    <col min="3" max="3" width="20.33203125" bestFit="1" customWidth="1"/>
    <col min="5" max="5" width="12" bestFit="1" customWidth="1"/>
    <col min="7" max="7" width="19.6640625" bestFit="1" customWidth="1"/>
    <col min="8" max="9" width="11.33203125" bestFit="1" customWidth="1"/>
    <col min="10" max="10" width="11.109375" bestFit="1" customWidth="1"/>
    <col min="11" max="11" width="12" bestFit="1" customWidth="1"/>
    <col min="12" max="13" width="9.6640625" bestFit="1" customWidth="1"/>
    <col min="14" max="14" width="7.5546875" bestFit="1" customWidth="1"/>
    <col min="15" max="15" width="8" bestFit="1" customWidth="1"/>
    <col min="16" max="16" width="9" bestFit="1" customWidth="1"/>
    <col min="17" max="17" width="14.109375" bestFit="1" customWidth="1"/>
  </cols>
  <sheetData>
    <row r="1" spans="1:17" x14ac:dyDescent="0.3">
      <c r="A1" s="2" t="s">
        <v>14</v>
      </c>
      <c r="B1" s="2" t="s">
        <v>0</v>
      </c>
      <c r="C1" s="2" t="s">
        <v>1</v>
      </c>
      <c r="D1" s="2" t="s">
        <v>2</v>
      </c>
      <c r="E1" s="2" t="s">
        <v>21</v>
      </c>
      <c r="F1" s="2" t="s">
        <v>3</v>
      </c>
      <c r="G1" s="2" t="s">
        <v>26</v>
      </c>
      <c r="H1" s="2" t="s">
        <v>22</v>
      </c>
      <c r="I1" s="2" t="s">
        <v>23</v>
      </c>
      <c r="J1" s="2" t="s">
        <v>4</v>
      </c>
      <c r="K1" s="2" t="s">
        <v>5</v>
      </c>
      <c r="L1" s="2" t="s">
        <v>7</v>
      </c>
      <c r="M1" s="2" t="s">
        <v>24</v>
      </c>
      <c r="N1" s="2" t="s">
        <v>6</v>
      </c>
      <c r="O1" s="2" t="s">
        <v>36</v>
      </c>
      <c r="P1" s="2" t="s">
        <v>8</v>
      </c>
      <c r="Q1" s="2" t="s">
        <v>20</v>
      </c>
    </row>
    <row r="2" spans="1:17" x14ac:dyDescent="0.3">
      <c r="A2" s="1">
        <v>1</v>
      </c>
      <c r="B2" s="1">
        <v>1</v>
      </c>
      <c r="C2" s="1" t="s">
        <v>137</v>
      </c>
      <c r="D2" s="1">
        <v>59.91</v>
      </c>
      <c r="E2" s="1">
        <v>94.22</v>
      </c>
      <c r="F2" s="1">
        <v>5.78</v>
      </c>
      <c r="G2" s="1">
        <v>16.37</v>
      </c>
      <c r="H2" s="1">
        <v>4.8600000000000003</v>
      </c>
      <c r="I2" s="1">
        <v>37.94</v>
      </c>
      <c r="J2" s="1">
        <v>35.9</v>
      </c>
      <c r="K2" s="1">
        <v>8.07</v>
      </c>
      <c r="L2" s="1">
        <v>233</v>
      </c>
      <c r="M2" s="1">
        <v>46</v>
      </c>
      <c r="N2" s="1">
        <v>5</v>
      </c>
      <c r="O2" s="1">
        <v>99.09</v>
      </c>
      <c r="P2" s="1">
        <v>20.51</v>
      </c>
      <c r="Q2" s="1">
        <f t="shared" ref="Q2:Q40" si="0">VALUE(LEFT(C2, FIND(" lbs", C2)-1))</f>
        <v>6.25</v>
      </c>
    </row>
    <row r="3" spans="1:17" x14ac:dyDescent="0.3">
      <c r="A3" s="1">
        <v>2</v>
      </c>
      <c r="B3" s="1">
        <v>3</v>
      </c>
      <c r="C3" s="1" t="s">
        <v>143</v>
      </c>
      <c r="D3" s="1">
        <v>73.14</v>
      </c>
      <c r="E3" s="1">
        <v>99.41</v>
      </c>
      <c r="F3" s="1">
        <v>0.59</v>
      </c>
      <c r="G3" s="1">
        <v>4.4000000000000004</v>
      </c>
      <c r="H3" s="1">
        <v>3.94</v>
      </c>
      <c r="I3" s="1">
        <v>21.87</v>
      </c>
      <c r="J3" s="1">
        <v>4.5</v>
      </c>
      <c r="K3" s="1">
        <v>3.13</v>
      </c>
      <c r="L3" s="1">
        <v>83</v>
      </c>
      <c r="M3" s="1">
        <v>39</v>
      </c>
      <c r="N3" s="1">
        <v>23</v>
      </c>
      <c r="O3" s="1">
        <v>295.98</v>
      </c>
      <c r="P3" s="1">
        <v>21.75</v>
      </c>
      <c r="Q3" s="1">
        <f t="shared" si="0"/>
        <v>9.6</v>
      </c>
    </row>
    <row r="4" spans="1:17" x14ac:dyDescent="0.3">
      <c r="A4" s="1">
        <v>3</v>
      </c>
      <c r="B4" s="1">
        <v>4</v>
      </c>
      <c r="C4" s="1" t="s">
        <v>143</v>
      </c>
      <c r="D4" s="1">
        <v>75.260000000000005</v>
      </c>
      <c r="E4" s="1">
        <v>85.99</v>
      </c>
      <c r="F4" s="1">
        <v>14.01</v>
      </c>
      <c r="G4" s="1">
        <v>4.1500000000000004</v>
      </c>
      <c r="H4" s="1">
        <v>3.76</v>
      </c>
      <c r="I4" s="1">
        <v>6.58</v>
      </c>
      <c r="J4" s="1">
        <v>3.1</v>
      </c>
      <c r="K4" s="1">
        <v>3.08</v>
      </c>
      <c r="L4" s="1">
        <v>74</v>
      </c>
      <c r="M4" s="1">
        <v>32</v>
      </c>
      <c r="N4" s="1">
        <v>9</v>
      </c>
      <c r="O4" s="1">
        <v>281.70999999999998</v>
      </c>
      <c r="P4" s="1">
        <v>22.17</v>
      </c>
      <c r="Q4" s="1">
        <f t="shared" si="0"/>
        <v>9.6</v>
      </c>
    </row>
    <row r="5" spans="1:17" x14ac:dyDescent="0.3">
      <c r="A5" s="1">
        <v>4</v>
      </c>
      <c r="B5" s="1">
        <v>5</v>
      </c>
      <c r="C5" s="1" t="s">
        <v>135</v>
      </c>
      <c r="D5" s="1">
        <v>66.56</v>
      </c>
      <c r="E5" s="1">
        <v>94.32</v>
      </c>
      <c r="F5" s="1">
        <v>5.68</v>
      </c>
      <c r="G5" s="1">
        <v>16.260000000000002</v>
      </c>
      <c r="H5" s="1">
        <v>15.5</v>
      </c>
      <c r="I5" s="1">
        <v>11.49</v>
      </c>
      <c r="J5" s="1">
        <v>3.6</v>
      </c>
      <c r="K5" s="1">
        <v>6.24</v>
      </c>
      <c r="L5" s="1">
        <v>217</v>
      </c>
      <c r="M5" s="1">
        <v>115</v>
      </c>
      <c r="N5" s="1">
        <v>15</v>
      </c>
      <c r="O5" s="1">
        <v>424.77</v>
      </c>
      <c r="P5" s="1">
        <v>25.31</v>
      </c>
      <c r="Q5" s="1">
        <f t="shared" si="0"/>
        <v>13</v>
      </c>
    </row>
    <row r="6" spans="1:17" x14ac:dyDescent="0.3">
      <c r="A6" s="1">
        <v>5</v>
      </c>
      <c r="B6" s="1">
        <v>6</v>
      </c>
      <c r="C6" s="1" t="s">
        <v>10</v>
      </c>
      <c r="D6" s="1">
        <v>73.180000000000007</v>
      </c>
      <c r="E6" s="1">
        <v>95.47</v>
      </c>
      <c r="F6" s="1">
        <v>4.53</v>
      </c>
      <c r="G6" s="1">
        <v>12.54</v>
      </c>
      <c r="H6" s="1">
        <v>11.96</v>
      </c>
      <c r="I6" s="1">
        <v>9.75</v>
      </c>
      <c r="J6" s="1">
        <v>2.9</v>
      </c>
      <c r="K6" s="1">
        <v>3.61</v>
      </c>
      <c r="L6" s="1">
        <v>269</v>
      </c>
      <c r="M6" s="1">
        <v>186</v>
      </c>
      <c r="N6" s="1">
        <v>16</v>
      </c>
      <c r="O6" s="1">
        <v>362.1</v>
      </c>
      <c r="P6" s="1">
        <v>25.77</v>
      </c>
      <c r="Q6" s="1">
        <f t="shared" si="0"/>
        <v>10</v>
      </c>
    </row>
    <row r="7" spans="1:17" x14ac:dyDescent="0.3">
      <c r="A7" s="1">
        <v>6</v>
      </c>
      <c r="B7" s="1">
        <v>7</v>
      </c>
      <c r="C7" s="1" t="s">
        <v>135</v>
      </c>
      <c r="D7" s="1">
        <v>77.64</v>
      </c>
      <c r="E7" s="1">
        <v>95.83</v>
      </c>
      <c r="F7" s="1">
        <v>4.17</v>
      </c>
      <c r="G7" s="1">
        <v>9.0500000000000007</v>
      </c>
      <c r="H7" s="1">
        <v>8.02</v>
      </c>
      <c r="I7" s="1">
        <v>9.14</v>
      </c>
      <c r="J7" s="1">
        <v>3.3</v>
      </c>
      <c r="K7" s="1">
        <v>8.9600000000000009</v>
      </c>
      <c r="L7" s="1">
        <v>252</v>
      </c>
      <c r="M7" s="1">
        <v>122</v>
      </c>
      <c r="N7" s="1">
        <v>13</v>
      </c>
      <c r="O7" s="1">
        <v>486.97</v>
      </c>
      <c r="P7" s="1">
        <v>25.08</v>
      </c>
      <c r="Q7" s="1">
        <f t="shared" si="0"/>
        <v>13</v>
      </c>
    </row>
    <row r="8" spans="1:17" x14ac:dyDescent="0.3">
      <c r="A8" s="1">
        <v>7</v>
      </c>
      <c r="B8" s="1">
        <v>8</v>
      </c>
      <c r="C8" s="1" t="s">
        <v>135</v>
      </c>
      <c r="D8" s="1">
        <v>76.64</v>
      </c>
      <c r="E8" s="1">
        <v>90.87</v>
      </c>
      <c r="F8" s="1">
        <v>9.1300000000000008</v>
      </c>
      <c r="G8" s="1">
        <v>8.0500000000000007</v>
      </c>
      <c r="H8" s="1">
        <v>7.25</v>
      </c>
      <c r="I8" s="1">
        <v>6.19</v>
      </c>
      <c r="J8" s="1">
        <v>2</v>
      </c>
      <c r="K8" s="1">
        <v>8.3699999999999992</v>
      </c>
      <c r="L8" s="1">
        <v>230</v>
      </c>
      <c r="M8" s="1">
        <v>125</v>
      </c>
      <c r="N8" s="1">
        <v>15</v>
      </c>
      <c r="O8" s="1">
        <v>498.73</v>
      </c>
      <c r="P8" s="1">
        <v>25.88</v>
      </c>
      <c r="Q8" s="1">
        <f t="shared" si="0"/>
        <v>13</v>
      </c>
    </row>
    <row r="9" spans="1:17" x14ac:dyDescent="0.3">
      <c r="A9" s="1">
        <v>8</v>
      </c>
      <c r="B9" s="1">
        <v>9</v>
      </c>
      <c r="C9" s="1" t="s">
        <v>9</v>
      </c>
      <c r="D9" s="1">
        <v>83.75</v>
      </c>
      <c r="E9" s="1">
        <v>91.35</v>
      </c>
      <c r="F9" s="1">
        <v>8.65</v>
      </c>
      <c r="G9" s="1">
        <v>3.94</v>
      </c>
      <c r="H9" s="1">
        <v>2.81</v>
      </c>
      <c r="I9" s="1">
        <v>3.66</v>
      </c>
      <c r="J9" s="1">
        <v>2.5</v>
      </c>
      <c r="K9" s="1">
        <v>12.29</v>
      </c>
      <c r="L9" s="1">
        <v>229</v>
      </c>
      <c r="M9" s="1">
        <v>82</v>
      </c>
      <c r="N9" s="1">
        <v>7</v>
      </c>
      <c r="O9" s="1">
        <v>237.3</v>
      </c>
      <c r="P9" s="1">
        <v>18.309999999999999</v>
      </c>
      <c r="Q9" s="1">
        <f t="shared" si="0"/>
        <v>8</v>
      </c>
    </row>
    <row r="10" spans="1:17" x14ac:dyDescent="0.3">
      <c r="A10" s="1">
        <v>9</v>
      </c>
      <c r="B10" s="1">
        <v>10</v>
      </c>
      <c r="C10" s="1" t="s">
        <v>135</v>
      </c>
      <c r="D10" s="1">
        <v>73.64</v>
      </c>
      <c r="E10" s="1">
        <v>90.53</v>
      </c>
      <c r="F10" s="1">
        <v>9.4700000000000006</v>
      </c>
      <c r="G10" s="1">
        <v>7.57</v>
      </c>
      <c r="H10" s="1">
        <v>6.71</v>
      </c>
      <c r="I10" s="1">
        <v>9.31</v>
      </c>
      <c r="J10" s="1">
        <v>3.4</v>
      </c>
      <c r="K10" s="1">
        <v>8.35</v>
      </c>
      <c r="L10" s="1">
        <v>226</v>
      </c>
      <c r="M10" s="1">
        <v>107</v>
      </c>
      <c r="N10" s="1">
        <v>13</v>
      </c>
      <c r="O10" s="1">
        <v>400.2</v>
      </c>
      <c r="P10" s="1">
        <v>21.69</v>
      </c>
      <c r="Q10" s="1">
        <f t="shared" si="0"/>
        <v>13</v>
      </c>
    </row>
    <row r="11" spans="1:17" x14ac:dyDescent="0.3">
      <c r="A11" s="1">
        <v>10</v>
      </c>
      <c r="B11" s="1">
        <v>11</v>
      </c>
      <c r="C11" s="1" t="s">
        <v>135</v>
      </c>
      <c r="D11" s="1">
        <v>73.05</v>
      </c>
      <c r="E11" s="1">
        <v>87.21</v>
      </c>
      <c r="F11" s="1">
        <v>12.79</v>
      </c>
      <c r="G11" s="1">
        <v>8.66</v>
      </c>
      <c r="H11" s="1">
        <v>8.01</v>
      </c>
      <c r="I11" s="1">
        <v>5.5</v>
      </c>
      <c r="J11" s="1">
        <v>2</v>
      </c>
      <c r="K11" s="1">
        <v>9</v>
      </c>
      <c r="L11" s="1">
        <v>189</v>
      </c>
      <c r="M11" s="1">
        <v>78</v>
      </c>
      <c r="N11" s="1">
        <v>13</v>
      </c>
      <c r="O11" s="1">
        <v>413.76</v>
      </c>
      <c r="P11" s="1">
        <v>22.37</v>
      </c>
      <c r="Q11" s="1">
        <f t="shared" si="0"/>
        <v>13</v>
      </c>
    </row>
    <row r="12" spans="1:17" x14ac:dyDescent="0.3">
      <c r="A12" s="1">
        <v>11</v>
      </c>
      <c r="B12" s="1">
        <v>13</v>
      </c>
      <c r="C12" s="1" t="s">
        <v>135</v>
      </c>
      <c r="D12" s="1">
        <v>52.34</v>
      </c>
      <c r="E12" s="1">
        <v>88.85</v>
      </c>
      <c r="F12" s="1">
        <v>11.15</v>
      </c>
      <c r="G12" s="1">
        <v>19.55</v>
      </c>
      <c r="H12" s="1">
        <v>18.95</v>
      </c>
      <c r="I12" s="1">
        <v>16.96</v>
      </c>
      <c r="J12" s="1">
        <v>6.2</v>
      </c>
      <c r="K12" s="1">
        <v>6.27</v>
      </c>
      <c r="L12" s="1">
        <v>181</v>
      </c>
      <c r="M12" s="1">
        <v>103</v>
      </c>
      <c r="N12" s="1">
        <v>13</v>
      </c>
      <c r="O12" s="1">
        <v>333.87</v>
      </c>
      <c r="P12" s="1">
        <v>25.13</v>
      </c>
      <c r="Q12" s="1">
        <f t="shared" si="0"/>
        <v>13</v>
      </c>
    </row>
    <row r="13" spans="1:17" x14ac:dyDescent="0.3">
      <c r="A13" s="1">
        <v>12</v>
      </c>
      <c r="B13" s="1">
        <v>15</v>
      </c>
      <c r="C13" s="1" t="s">
        <v>40</v>
      </c>
      <c r="D13" s="1">
        <v>68.150000000000006</v>
      </c>
      <c r="E13" s="1">
        <v>87.46</v>
      </c>
      <c r="F13" s="1">
        <v>12.54</v>
      </c>
      <c r="G13" s="1">
        <v>7.4</v>
      </c>
      <c r="H13" s="1">
        <v>6.44</v>
      </c>
      <c r="I13" s="1">
        <v>11.91</v>
      </c>
      <c r="J13" s="1">
        <v>4.4000000000000004</v>
      </c>
      <c r="K13" s="1">
        <v>8.8699999999999992</v>
      </c>
      <c r="L13" s="1">
        <v>191</v>
      </c>
      <c r="M13" s="1">
        <v>80</v>
      </c>
      <c r="N13" s="1">
        <v>13</v>
      </c>
      <c r="O13" s="1">
        <v>441.98</v>
      </c>
      <c r="P13" s="1">
        <v>23.86</v>
      </c>
      <c r="Q13" s="1">
        <f t="shared" si="0"/>
        <v>14</v>
      </c>
    </row>
    <row r="14" spans="1:17" x14ac:dyDescent="0.3">
      <c r="A14" s="1">
        <v>13</v>
      </c>
      <c r="B14" s="1">
        <v>16</v>
      </c>
      <c r="C14" s="1" t="s">
        <v>40</v>
      </c>
      <c r="D14" s="1">
        <v>64.97</v>
      </c>
      <c r="E14" s="1">
        <v>100</v>
      </c>
      <c r="F14" s="1">
        <v>0</v>
      </c>
      <c r="G14" s="1">
        <v>6.18</v>
      </c>
      <c r="H14" s="1">
        <v>5.0999999999999996</v>
      </c>
      <c r="I14" s="1">
        <v>28.85</v>
      </c>
      <c r="J14" s="1">
        <v>7.3</v>
      </c>
      <c r="K14" s="1">
        <v>16.05</v>
      </c>
      <c r="L14" s="1">
        <v>210</v>
      </c>
      <c r="M14" s="1">
        <v>69</v>
      </c>
      <c r="N14" s="1">
        <v>19</v>
      </c>
      <c r="O14" s="1">
        <v>431.46</v>
      </c>
      <c r="P14" s="1">
        <v>24.28</v>
      </c>
      <c r="Q14" s="1">
        <f t="shared" si="0"/>
        <v>14</v>
      </c>
    </row>
    <row r="15" spans="1:17" x14ac:dyDescent="0.3">
      <c r="A15" s="1">
        <v>14</v>
      </c>
      <c r="B15" s="1">
        <v>17</v>
      </c>
      <c r="C15" s="1" t="s">
        <v>10</v>
      </c>
      <c r="D15" s="1">
        <v>40.1</v>
      </c>
      <c r="E15" s="1">
        <v>51.69</v>
      </c>
      <c r="F15" s="1">
        <v>48.31</v>
      </c>
      <c r="G15" s="1">
        <v>4.62</v>
      </c>
      <c r="H15" s="1">
        <v>4.2699999999999996</v>
      </c>
      <c r="I15" s="1">
        <v>6.97</v>
      </c>
      <c r="J15" s="1">
        <v>8.3000000000000007</v>
      </c>
      <c r="K15" s="1">
        <v>8.66</v>
      </c>
      <c r="L15" s="1">
        <v>102</v>
      </c>
      <c r="M15" s="1">
        <v>49</v>
      </c>
      <c r="N15" s="1">
        <v>4</v>
      </c>
      <c r="O15" s="1">
        <v>167.54</v>
      </c>
      <c r="P15" s="1">
        <v>21.36</v>
      </c>
      <c r="Q15" s="1">
        <f t="shared" si="0"/>
        <v>10</v>
      </c>
    </row>
    <row r="16" spans="1:17" x14ac:dyDescent="0.3">
      <c r="A16" s="1">
        <v>15</v>
      </c>
      <c r="B16" s="1">
        <v>18</v>
      </c>
      <c r="C16" s="1" t="s">
        <v>9</v>
      </c>
      <c r="D16" s="1">
        <v>48.69</v>
      </c>
      <c r="E16" s="1">
        <v>54.44</v>
      </c>
      <c r="F16" s="1">
        <v>45.56</v>
      </c>
      <c r="G16" s="1">
        <v>2.9</v>
      </c>
      <c r="H16" s="1">
        <v>2.68</v>
      </c>
      <c r="I16" s="1">
        <v>2.85</v>
      </c>
      <c r="J16" s="1">
        <v>6.8</v>
      </c>
      <c r="K16" s="1">
        <v>5.52</v>
      </c>
      <c r="L16" s="1">
        <v>57</v>
      </c>
      <c r="M16" s="1">
        <v>23</v>
      </c>
      <c r="N16" s="1">
        <v>2</v>
      </c>
      <c r="O16" s="1">
        <v>154.28</v>
      </c>
      <c r="P16" s="1">
        <v>20.399999999999999</v>
      </c>
      <c r="Q16" s="1">
        <f t="shared" si="0"/>
        <v>8</v>
      </c>
    </row>
    <row r="17" spans="1:17" x14ac:dyDescent="0.3">
      <c r="A17" s="1">
        <v>16</v>
      </c>
      <c r="B17" s="1">
        <v>19</v>
      </c>
      <c r="C17" s="1" t="s">
        <v>9</v>
      </c>
      <c r="D17" s="1">
        <v>72.33</v>
      </c>
      <c r="E17" s="1">
        <v>79.47</v>
      </c>
      <c r="F17" s="1">
        <v>20.53</v>
      </c>
      <c r="G17" s="1">
        <v>0.25</v>
      </c>
      <c r="H17" s="1">
        <v>0</v>
      </c>
      <c r="I17" s="1">
        <v>6.88</v>
      </c>
      <c r="J17" s="1">
        <v>5.4</v>
      </c>
      <c r="K17" s="1">
        <v>8.4600000000000009</v>
      </c>
      <c r="L17" s="1">
        <v>58</v>
      </c>
      <c r="M17" s="1">
        <v>0</v>
      </c>
      <c r="N17" s="1">
        <v>6</v>
      </c>
      <c r="O17" s="1">
        <v>213.87</v>
      </c>
      <c r="P17" s="1">
        <v>20.29</v>
      </c>
      <c r="Q17" s="1">
        <f t="shared" si="0"/>
        <v>8</v>
      </c>
    </row>
    <row r="18" spans="1:17" x14ac:dyDescent="0.3">
      <c r="A18" s="1">
        <v>17</v>
      </c>
      <c r="B18" s="1">
        <v>20</v>
      </c>
      <c r="C18" s="1" t="s">
        <v>9</v>
      </c>
      <c r="D18" s="1">
        <v>71.989999999999995</v>
      </c>
      <c r="E18" s="1">
        <v>88.19</v>
      </c>
      <c r="F18" s="1">
        <v>11.81</v>
      </c>
      <c r="G18" s="1">
        <v>5.72</v>
      </c>
      <c r="H18" s="1">
        <v>4.93</v>
      </c>
      <c r="I18" s="1">
        <v>10.48</v>
      </c>
      <c r="J18" s="1">
        <v>7.2</v>
      </c>
      <c r="K18" s="1">
        <v>6.87</v>
      </c>
      <c r="L18" s="1">
        <v>168</v>
      </c>
      <c r="M18" s="1">
        <v>76</v>
      </c>
      <c r="N18" s="1">
        <v>7</v>
      </c>
      <c r="O18" s="1">
        <v>226.7</v>
      </c>
      <c r="P18" s="1">
        <v>20.12</v>
      </c>
      <c r="Q18" s="1">
        <f t="shared" si="0"/>
        <v>8</v>
      </c>
    </row>
    <row r="19" spans="1:17" x14ac:dyDescent="0.3">
      <c r="A19" s="1">
        <v>18</v>
      </c>
      <c r="B19" s="1">
        <v>21</v>
      </c>
      <c r="C19" s="1" t="s">
        <v>9</v>
      </c>
      <c r="D19" s="1">
        <v>71.900000000000006</v>
      </c>
      <c r="E19" s="1">
        <v>83.06</v>
      </c>
      <c r="F19" s="1">
        <v>16.940000000000001</v>
      </c>
      <c r="G19" s="1">
        <v>2.78</v>
      </c>
      <c r="H19" s="1">
        <v>2.34</v>
      </c>
      <c r="I19" s="1">
        <v>8.3800000000000008</v>
      </c>
      <c r="J19" s="1">
        <v>6.6</v>
      </c>
      <c r="K19" s="1">
        <v>7.76</v>
      </c>
      <c r="L19" s="1">
        <v>109</v>
      </c>
      <c r="M19" s="1">
        <v>44</v>
      </c>
      <c r="N19" s="1">
        <v>6</v>
      </c>
      <c r="O19" s="1">
        <v>226.72</v>
      </c>
      <c r="P19" s="1">
        <v>20.28</v>
      </c>
      <c r="Q19" s="1">
        <f t="shared" si="0"/>
        <v>8</v>
      </c>
    </row>
    <row r="20" spans="1:17" x14ac:dyDescent="0.3">
      <c r="A20" s="1">
        <v>19</v>
      </c>
      <c r="B20" s="1">
        <v>22</v>
      </c>
      <c r="C20" s="1" t="s">
        <v>9</v>
      </c>
      <c r="D20" s="1">
        <v>79.819999999999993</v>
      </c>
      <c r="E20" s="1">
        <v>90.05</v>
      </c>
      <c r="F20" s="1">
        <v>9.9499999999999993</v>
      </c>
      <c r="G20" s="1">
        <v>3.01</v>
      </c>
      <c r="H20" s="1">
        <v>2.4700000000000002</v>
      </c>
      <c r="I20" s="1">
        <v>7.22</v>
      </c>
      <c r="J20" s="1">
        <v>4.9000000000000004</v>
      </c>
      <c r="K20" s="1">
        <v>9.59</v>
      </c>
      <c r="L20" s="1">
        <v>129</v>
      </c>
      <c r="M20" s="1">
        <v>38</v>
      </c>
      <c r="N20" s="1">
        <v>7</v>
      </c>
      <c r="O20" s="1">
        <v>250.72</v>
      </c>
      <c r="P20" s="1">
        <v>20.309999999999999</v>
      </c>
      <c r="Q20" s="1">
        <f t="shared" si="0"/>
        <v>8</v>
      </c>
    </row>
    <row r="21" spans="1:17" x14ac:dyDescent="0.3">
      <c r="A21" s="1">
        <v>20</v>
      </c>
      <c r="B21" s="1">
        <v>23</v>
      </c>
      <c r="C21" s="1" t="s">
        <v>9</v>
      </c>
      <c r="D21" s="1">
        <v>82.57</v>
      </c>
      <c r="E21" s="1">
        <v>95.98</v>
      </c>
      <c r="F21" s="1">
        <v>4.0199999999999996</v>
      </c>
      <c r="G21" s="1">
        <v>4.38</v>
      </c>
      <c r="H21" s="1">
        <v>3.97</v>
      </c>
      <c r="I21" s="1">
        <v>9.0299999999999994</v>
      </c>
      <c r="J21" s="1">
        <v>6.1</v>
      </c>
      <c r="K21" s="1">
        <v>5.93</v>
      </c>
      <c r="L21" s="1">
        <v>116</v>
      </c>
      <c r="M21" s="1">
        <v>54</v>
      </c>
      <c r="N21" s="1">
        <v>7</v>
      </c>
      <c r="O21" s="1">
        <v>263.18</v>
      </c>
      <c r="P21" s="1">
        <v>20.49</v>
      </c>
      <c r="Q21" s="1">
        <f t="shared" si="0"/>
        <v>8</v>
      </c>
    </row>
    <row r="22" spans="1:17" x14ac:dyDescent="0.3">
      <c r="A22" s="1">
        <v>21</v>
      </c>
      <c r="B22" s="1">
        <v>24</v>
      </c>
      <c r="C22" s="1" t="s">
        <v>9</v>
      </c>
      <c r="D22" s="1">
        <v>79.34</v>
      </c>
      <c r="E22" s="1">
        <v>88.53</v>
      </c>
      <c r="F22" s="1">
        <v>11.47</v>
      </c>
      <c r="G22" s="1">
        <v>2.78</v>
      </c>
      <c r="H22" s="1">
        <v>2.25</v>
      </c>
      <c r="I22" s="1">
        <v>6.41</v>
      </c>
      <c r="J22" s="1">
        <v>4.3</v>
      </c>
      <c r="K22" s="1">
        <v>8.32</v>
      </c>
      <c r="L22" s="1">
        <v>128</v>
      </c>
      <c r="M22" s="1">
        <v>41</v>
      </c>
      <c r="N22" s="1">
        <v>7</v>
      </c>
      <c r="O22" s="1">
        <v>126.83</v>
      </c>
      <c r="P22" s="1">
        <v>10.51</v>
      </c>
      <c r="Q22" s="1">
        <f t="shared" si="0"/>
        <v>8</v>
      </c>
    </row>
    <row r="23" spans="1:17" x14ac:dyDescent="0.3">
      <c r="A23" s="1">
        <v>22</v>
      </c>
      <c r="B23" s="1">
        <v>25</v>
      </c>
      <c r="C23" s="1" t="s">
        <v>9</v>
      </c>
      <c r="D23" s="1">
        <v>86.47</v>
      </c>
      <c r="E23" s="1">
        <v>96.33</v>
      </c>
      <c r="F23" s="1">
        <v>3.67</v>
      </c>
      <c r="G23" s="1">
        <v>6.48</v>
      </c>
      <c r="H23" s="1">
        <v>4.6399999999999997</v>
      </c>
      <c r="I23" s="1">
        <v>3.38</v>
      </c>
      <c r="J23" s="1">
        <v>2.2999999999999998</v>
      </c>
      <c r="K23" s="1">
        <v>18.559999999999999</v>
      </c>
      <c r="L23" s="1">
        <v>368</v>
      </c>
      <c r="M23" s="1">
        <v>115</v>
      </c>
      <c r="N23" s="1">
        <v>7</v>
      </c>
      <c r="O23" s="1">
        <v>252.51</v>
      </c>
      <c r="P23" s="1">
        <v>18.989999999999998</v>
      </c>
      <c r="Q23" s="1">
        <f t="shared" si="0"/>
        <v>8</v>
      </c>
    </row>
    <row r="24" spans="1:17" x14ac:dyDescent="0.3">
      <c r="A24" s="1">
        <v>23</v>
      </c>
      <c r="B24" s="1">
        <v>27</v>
      </c>
      <c r="C24" s="1" t="s">
        <v>9</v>
      </c>
      <c r="D24" s="1">
        <v>73.2</v>
      </c>
      <c r="E24" s="1">
        <v>90.87</v>
      </c>
      <c r="F24" s="1">
        <v>9.1300000000000008</v>
      </c>
      <c r="G24" s="1">
        <v>10.039999999999999</v>
      </c>
      <c r="H24" s="1">
        <v>9.3000000000000007</v>
      </c>
      <c r="I24" s="1">
        <v>7.62</v>
      </c>
      <c r="J24" s="1">
        <v>5.2</v>
      </c>
      <c r="K24" s="1">
        <v>10.56</v>
      </c>
      <c r="L24" s="1">
        <v>201</v>
      </c>
      <c r="M24" s="1">
        <v>90</v>
      </c>
      <c r="N24" s="1">
        <v>7</v>
      </c>
      <c r="O24" s="1">
        <v>211.46</v>
      </c>
      <c r="P24" s="1">
        <v>18.46</v>
      </c>
      <c r="Q24" s="1">
        <f t="shared" si="0"/>
        <v>8</v>
      </c>
    </row>
    <row r="25" spans="1:17" x14ac:dyDescent="0.3">
      <c r="A25" s="1">
        <v>24</v>
      </c>
      <c r="B25" s="1">
        <v>30</v>
      </c>
      <c r="C25" s="1" t="s">
        <v>9</v>
      </c>
      <c r="D25" s="1">
        <v>82.89</v>
      </c>
      <c r="E25" s="1">
        <v>99.34</v>
      </c>
      <c r="F25" s="1">
        <v>0.66</v>
      </c>
      <c r="G25" s="1">
        <v>7.09</v>
      </c>
      <c r="H25" s="1">
        <v>6.77</v>
      </c>
      <c r="I25" s="1">
        <v>9.36</v>
      </c>
      <c r="J25" s="1">
        <v>5.9</v>
      </c>
      <c r="K25" s="1">
        <v>5.17</v>
      </c>
      <c r="L25" s="1">
        <v>97</v>
      </c>
      <c r="M25" s="1">
        <v>48</v>
      </c>
      <c r="N25" s="1">
        <v>6</v>
      </c>
      <c r="O25" s="1">
        <v>191.63</v>
      </c>
      <c r="P25" s="1">
        <v>18.78</v>
      </c>
      <c r="Q25" s="1">
        <f t="shared" si="0"/>
        <v>8</v>
      </c>
    </row>
    <row r="26" spans="1:17" x14ac:dyDescent="0.3">
      <c r="A26" s="1">
        <v>25</v>
      </c>
      <c r="B26" s="1">
        <v>30</v>
      </c>
      <c r="C26" s="1" t="s">
        <v>40</v>
      </c>
      <c r="D26" s="1">
        <v>90.28</v>
      </c>
      <c r="E26" s="1">
        <v>96.54</v>
      </c>
      <c r="F26" s="1">
        <v>3.46</v>
      </c>
      <c r="G26" s="1">
        <v>3.85</v>
      </c>
      <c r="H26" s="1">
        <v>3.18</v>
      </c>
      <c r="I26" s="1">
        <v>2.41</v>
      </c>
      <c r="J26" s="1">
        <v>1.2</v>
      </c>
      <c r="K26" s="1">
        <v>6.23</v>
      </c>
      <c r="L26" s="1">
        <v>28</v>
      </c>
      <c r="M26" s="1">
        <v>10</v>
      </c>
      <c r="N26" s="1">
        <v>2</v>
      </c>
      <c r="O26" s="1">
        <v>93.75</v>
      </c>
      <c r="P26" s="1">
        <v>17.7</v>
      </c>
      <c r="Q26" s="1">
        <f t="shared" si="0"/>
        <v>14</v>
      </c>
    </row>
    <row r="27" spans="1:17" x14ac:dyDescent="0.3">
      <c r="A27" s="1">
        <v>26</v>
      </c>
      <c r="B27" s="1">
        <v>31</v>
      </c>
      <c r="C27" s="1" t="s">
        <v>40</v>
      </c>
      <c r="D27" s="1">
        <v>63.98</v>
      </c>
      <c r="E27" s="1">
        <v>75.819999999999993</v>
      </c>
      <c r="F27" s="1">
        <v>24.18</v>
      </c>
      <c r="G27" s="1">
        <v>8.7100000000000009</v>
      </c>
      <c r="H27" s="1">
        <v>8.06</v>
      </c>
      <c r="I27" s="1">
        <v>3.13</v>
      </c>
      <c r="J27" s="1">
        <v>7.5</v>
      </c>
      <c r="K27" s="1">
        <v>16.850000000000001</v>
      </c>
      <c r="L27" s="1">
        <v>199</v>
      </c>
      <c r="M27" s="1">
        <v>76</v>
      </c>
      <c r="N27" s="1">
        <v>2</v>
      </c>
      <c r="O27" s="1">
        <v>424.56</v>
      </c>
      <c r="P27" s="1">
        <v>24.24</v>
      </c>
      <c r="Q27" s="1">
        <f t="shared" si="0"/>
        <v>14</v>
      </c>
    </row>
    <row r="28" spans="1:17" x14ac:dyDescent="0.3">
      <c r="A28" s="1">
        <v>27</v>
      </c>
      <c r="B28" s="1">
        <v>32</v>
      </c>
      <c r="C28" s="1" t="s">
        <v>40</v>
      </c>
      <c r="D28" s="1">
        <v>62.12</v>
      </c>
      <c r="E28" s="1">
        <v>95.8</v>
      </c>
      <c r="F28" s="1">
        <v>4.2</v>
      </c>
      <c r="G28" s="1">
        <v>7.45</v>
      </c>
      <c r="H28" s="1">
        <v>6.77</v>
      </c>
      <c r="I28" s="1">
        <v>26.23</v>
      </c>
      <c r="J28" s="1">
        <v>9.6</v>
      </c>
      <c r="K28" s="1">
        <v>13.48</v>
      </c>
      <c r="L28" s="1">
        <v>196</v>
      </c>
      <c r="M28" s="1">
        <v>80</v>
      </c>
      <c r="N28" s="1">
        <v>13</v>
      </c>
      <c r="O28" s="1">
        <v>413.12</v>
      </c>
      <c r="P28" s="1">
        <v>24.46</v>
      </c>
      <c r="Q28" s="1">
        <f t="shared" si="0"/>
        <v>14</v>
      </c>
    </row>
    <row r="29" spans="1:17" x14ac:dyDescent="0.3">
      <c r="A29" s="1">
        <v>28</v>
      </c>
      <c r="B29" s="1">
        <v>33</v>
      </c>
      <c r="C29" s="1" t="s">
        <v>39</v>
      </c>
      <c r="D29" s="1">
        <v>56.32</v>
      </c>
      <c r="E29" s="1">
        <v>82.76</v>
      </c>
      <c r="F29" s="1">
        <v>17.239999999999998</v>
      </c>
      <c r="G29" s="1">
        <v>8.27</v>
      </c>
      <c r="H29" s="1">
        <v>7.72</v>
      </c>
      <c r="I29" s="1">
        <v>18.170000000000002</v>
      </c>
      <c r="J29" s="1">
        <v>12.2</v>
      </c>
      <c r="K29" s="1">
        <v>7.25</v>
      </c>
      <c r="L29" s="1">
        <v>169</v>
      </c>
      <c r="M29" s="1">
        <v>80</v>
      </c>
      <c r="N29" s="1">
        <v>7</v>
      </c>
      <c r="O29" s="1">
        <v>201.48</v>
      </c>
      <c r="P29" s="1">
        <v>20.67</v>
      </c>
      <c r="Q29" s="1">
        <f t="shared" si="0"/>
        <v>9</v>
      </c>
    </row>
    <row r="30" spans="1:17" x14ac:dyDescent="0.3">
      <c r="A30" s="1">
        <v>29</v>
      </c>
      <c r="B30" s="1">
        <v>34</v>
      </c>
      <c r="C30" s="1" t="s">
        <v>12</v>
      </c>
      <c r="D30" s="1">
        <v>56.96</v>
      </c>
      <c r="E30" s="1">
        <v>77.709999999999994</v>
      </c>
      <c r="F30" s="1">
        <v>22.29</v>
      </c>
      <c r="G30" s="1">
        <v>11.55</v>
      </c>
      <c r="H30" s="1">
        <v>10.87</v>
      </c>
      <c r="I30" s="1">
        <v>9.1999999999999993</v>
      </c>
      <c r="J30" s="1">
        <v>6.9</v>
      </c>
      <c r="K30" s="1">
        <v>8.07</v>
      </c>
      <c r="L30" s="1">
        <v>195</v>
      </c>
      <c r="M30" s="1">
        <v>120</v>
      </c>
      <c r="N30" s="1">
        <v>6</v>
      </c>
      <c r="O30" s="1">
        <v>152.76</v>
      </c>
      <c r="P30" s="1">
        <v>18.809999999999999</v>
      </c>
      <c r="Q30" s="1">
        <f t="shared" si="0"/>
        <v>7</v>
      </c>
    </row>
    <row r="31" spans="1:17" x14ac:dyDescent="0.3">
      <c r="A31" s="1">
        <v>30</v>
      </c>
      <c r="B31" s="1">
        <v>35</v>
      </c>
      <c r="C31" s="1" t="s">
        <v>11</v>
      </c>
      <c r="D31" s="1">
        <v>64.069999999999993</v>
      </c>
      <c r="E31" s="1">
        <v>83.49</v>
      </c>
      <c r="F31" s="1">
        <v>16.510000000000002</v>
      </c>
      <c r="G31" s="1">
        <v>10.29</v>
      </c>
      <c r="H31" s="1">
        <v>9.67</v>
      </c>
      <c r="I31" s="1">
        <v>9.1300000000000008</v>
      </c>
      <c r="J31" s="1">
        <v>6.2</v>
      </c>
      <c r="K31" s="1">
        <v>11.21</v>
      </c>
      <c r="L31" s="1">
        <v>179</v>
      </c>
      <c r="M31" s="1">
        <v>76</v>
      </c>
      <c r="N31" s="1">
        <v>7</v>
      </c>
      <c r="O31" s="1">
        <v>186.62</v>
      </c>
      <c r="P31" s="1">
        <v>19.489999999999998</v>
      </c>
      <c r="Q31" s="1">
        <f t="shared" si="0"/>
        <v>7.7</v>
      </c>
    </row>
    <row r="32" spans="1:17" x14ac:dyDescent="0.3">
      <c r="A32" s="1">
        <v>31</v>
      </c>
      <c r="B32" s="1">
        <v>36</v>
      </c>
      <c r="C32" s="1" t="s">
        <v>12</v>
      </c>
      <c r="D32" s="1">
        <v>67.09</v>
      </c>
      <c r="E32" s="1">
        <v>100</v>
      </c>
      <c r="F32" s="1">
        <v>0</v>
      </c>
      <c r="G32" s="1">
        <v>8.0399999999999991</v>
      </c>
      <c r="H32" s="1">
        <v>6.85</v>
      </c>
      <c r="I32" s="1">
        <v>24.87</v>
      </c>
      <c r="J32" s="1">
        <v>5.9</v>
      </c>
      <c r="K32" s="1">
        <v>13.12</v>
      </c>
      <c r="L32" s="1">
        <v>238</v>
      </c>
      <c r="M32" s="1">
        <v>100</v>
      </c>
      <c r="N32" s="1">
        <v>20</v>
      </c>
      <c r="O32" s="1">
        <v>194.94</v>
      </c>
      <c r="P32" s="1">
        <v>19.34</v>
      </c>
      <c r="Q32" s="1">
        <f t="shared" si="0"/>
        <v>7</v>
      </c>
    </row>
    <row r="33" spans="1:17" x14ac:dyDescent="0.3">
      <c r="A33" s="1">
        <v>32</v>
      </c>
      <c r="B33" s="1">
        <v>37</v>
      </c>
      <c r="C33" s="1" t="s">
        <v>11</v>
      </c>
      <c r="D33" s="1">
        <v>60.24</v>
      </c>
      <c r="E33" s="1">
        <v>77.55</v>
      </c>
      <c r="F33" s="1">
        <v>22.45</v>
      </c>
      <c r="G33" s="1">
        <v>9.7899999999999991</v>
      </c>
      <c r="H33" s="1">
        <v>9.36</v>
      </c>
      <c r="I33" s="1">
        <v>7.52</v>
      </c>
      <c r="J33" s="1">
        <v>4.7</v>
      </c>
      <c r="K33" s="1">
        <v>7.32</v>
      </c>
      <c r="L33" s="1">
        <v>120</v>
      </c>
      <c r="M33" s="1">
        <v>75</v>
      </c>
      <c r="N33" s="1">
        <v>6</v>
      </c>
      <c r="O33" s="1">
        <v>104.95</v>
      </c>
      <c r="P33" s="1">
        <v>14.9</v>
      </c>
      <c r="Q33" s="1">
        <f t="shared" si="0"/>
        <v>7.7</v>
      </c>
    </row>
    <row r="34" spans="1:17" x14ac:dyDescent="0.3">
      <c r="A34" s="1">
        <v>33</v>
      </c>
      <c r="B34" s="1">
        <v>38</v>
      </c>
      <c r="C34" s="1" t="s">
        <v>13</v>
      </c>
      <c r="D34" s="1">
        <v>61.03</v>
      </c>
      <c r="E34" s="1">
        <v>100</v>
      </c>
      <c r="F34" s="1">
        <v>0</v>
      </c>
      <c r="G34" s="1">
        <v>17.46</v>
      </c>
      <c r="H34" s="1">
        <v>15.92</v>
      </c>
      <c r="I34" s="1">
        <v>21.51</v>
      </c>
      <c r="J34" s="1">
        <v>7.7</v>
      </c>
      <c r="K34" s="1">
        <v>21.43</v>
      </c>
      <c r="L34" s="1">
        <v>416</v>
      </c>
      <c r="M34" s="1">
        <v>231</v>
      </c>
      <c r="N34" s="1">
        <v>13</v>
      </c>
      <c r="O34" s="1">
        <v>147.11000000000001</v>
      </c>
      <c r="P34" s="1">
        <v>15.39</v>
      </c>
      <c r="Q34" s="1">
        <f t="shared" si="0"/>
        <v>8.25</v>
      </c>
    </row>
    <row r="35" spans="1:17" x14ac:dyDescent="0.3">
      <c r="A35" s="1">
        <v>34</v>
      </c>
      <c r="B35" s="1">
        <v>39</v>
      </c>
      <c r="C35" s="1" t="s">
        <v>136</v>
      </c>
      <c r="D35" s="1">
        <v>81.400000000000006</v>
      </c>
      <c r="E35" s="1">
        <v>98.56</v>
      </c>
      <c r="F35" s="1">
        <v>1.44</v>
      </c>
      <c r="G35" s="1">
        <v>9.67</v>
      </c>
      <c r="H35" s="1">
        <v>9.19</v>
      </c>
      <c r="I35" s="1">
        <v>7.5</v>
      </c>
      <c r="J35" s="1">
        <v>4.4000000000000004</v>
      </c>
      <c r="K35" s="1">
        <v>7.6</v>
      </c>
      <c r="L35" s="1">
        <v>179</v>
      </c>
      <c r="M35" s="1">
        <v>97</v>
      </c>
      <c r="N35" s="1">
        <v>8</v>
      </c>
      <c r="O35" s="1">
        <v>177.6</v>
      </c>
      <c r="P35" s="1">
        <v>16.2</v>
      </c>
      <c r="Q35" s="1">
        <f t="shared" si="0"/>
        <v>7</v>
      </c>
    </row>
    <row r="36" spans="1:17" x14ac:dyDescent="0.3">
      <c r="A36" s="1">
        <v>35</v>
      </c>
      <c r="B36" s="1">
        <v>40</v>
      </c>
      <c r="C36" s="1" t="s">
        <v>136</v>
      </c>
      <c r="D36" s="1">
        <v>83.15</v>
      </c>
      <c r="E36" s="1">
        <v>94.86</v>
      </c>
      <c r="F36" s="1">
        <v>5.14</v>
      </c>
      <c r="G36" s="1">
        <v>9.2899999999999991</v>
      </c>
      <c r="H36" s="1">
        <v>8.14</v>
      </c>
      <c r="I36" s="1">
        <v>2.41</v>
      </c>
      <c r="J36" s="1">
        <v>2.9</v>
      </c>
      <c r="K36" s="1">
        <v>19.16</v>
      </c>
      <c r="L36" s="1">
        <v>344</v>
      </c>
      <c r="M36" s="1">
        <v>147</v>
      </c>
      <c r="N36" s="1">
        <v>4</v>
      </c>
      <c r="O36" s="1">
        <v>162.63999999999999</v>
      </c>
      <c r="P36" s="1">
        <v>14.39</v>
      </c>
      <c r="Q36" s="1">
        <f t="shared" si="0"/>
        <v>7</v>
      </c>
    </row>
    <row r="37" spans="1:17" x14ac:dyDescent="0.3">
      <c r="A37" s="1">
        <v>36</v>
      </c>
      <c r="B37" s="1">
        <v>41</v>
      </c>
      <c r="C37" s="1" t="s">
        <v>152</v>
      </c>
      <c r="D37" s="1">
        <v>84.6</v>
      </c>
      <c r="E37" s="1">
        <v>96.97</v>
      </c>
      <c r="F37" s="1">
        <v>3.03</v>
      </c>
      <c r="G37" s="1">
        <v>5.44</v>
      </c>
      <c r="H37" s="1">
        <v>4.62</v>
      </c>
      <c r="I37" s="1">
        <v>6.93</v>
      </c>
      <c r="J37" s="1">
        <v>4.5</v>
      </c>
      <c r="K37" s="1">
        <v>11.24</v>
      </c>
      <c r="L37" s="1">
        <v>185</v>
      </c>
      <c r="M37" s="1">
        <v>80</v>
      </c>
      <c r="N37" s="1">
        <v>6</v>
      </c>
      <c r="O37" s="1">
        <v>161.84</v>
      </c>
      <c r="P37" s="1">
        <v>14.51</v>
      </c>
      <c r="Q37" s="1">
        <f t="shared" si="0"/>
        <v>8.25</v>
      </c>
    </row>
    <row r="38" spans="1:17" x14ac:dyDescent="0.3">
      <c r="A38" s="1">
        <v>37</v>
      </c>
      <c r="B38" s="1">
        <v>41</v>
      </c>
      <c r="C38" s="1" t="s">
        <v>39</v>
      </c>
      <c r="D38" s="1">
        <v>86.44</v>
      </c>
      <c r="E38" s="1">
        <v>100</v>
      </c>
      <c r="F38" s="1">
        <v>0</v>
      </c>
      <c r="G38" s="1">
        <v>10.51</v>
      </c>
      <c r="H38" s="1">
        <v>9.67</v>
      </c>
      <c r="I38" s="1">
        <v>3.06</v>
      </c>
      <c r="J38" s="1">
        <v>1.3</v>
      </c>
      <c r="K38" s="1">
        <v>10.67</v>
      </c>
      <c r="L38" s="1">
        <v>53</v>
      </c>
      <c r="M38" s="1">
        <v>33</v>
      </c>
      <c r="N38" s="1">
        <v>2</v>
      </c>
      <c r="O38" s="1">
        <v>41.2</v>
      </c>
      <c r="P38" s="1">
        <v>14.87</v>
      </c>
      <c r="Q38" s="1">
        <f t="shared" si="0"/>
        <v>9</v>
      </c>
    </row>
    <row r="39" spans="1:17" x14ac:dyDescent="0.3">
      <c r="A39" s="1">
        <v>38</v>
      </c>
      <c r="B39" s="1">
        <v>42</v>
      </c>
      <c r="C39" s="1" t="s">
        <v>39</v>
      </c>
      <c r="D39" s="1">
        <v>55.62</v>
      </c>
      <c r="E39" s="1">
        <v>75.680000000000007</v>
      </c>
      <c r="F39" s="1">
        <v>24.32</v>
      </c>
      <c r="G39" s="1">
        <v>19.37</v>
      </c>
      <c r="H39" s="1">
        <v>18.100000000000001</v>
      </c>
      <c r="I39" s="1">
        <v>0.69</v>
      </c>
      <c r="J39" s="1">
        <v>3.3</v>
      </c>
      <c r="K39" s="1">
        <v>20.04</v>
      </c>
      <c r="L39" s="1">
        <v>364</v>
      </c>
      <c r="M39" s="1">
        <v>214</v>
      </c>
      <c r="N39" s="1">
        <v>1</v>
      </c>
      <c r="O39" s="1">
        <v>145.13</v>
      </c>
      <c r="P39" s="1">
        <v>14.89</v>
      </c>
      <c r="Q39" s="1">
        <f t="shared" si="0"/>
        <v>9</v>
      </c>
    </row>
    <row r="40" spans="1:17" x14ac:dyDescent="0.3">
      <c r="A40" s="1">
        <v>39</v>
      </c>
      <c r="B40" s="1">
        <v>43</v>
      </c>
      <c r="C40" s="1" t="s">
        <v>136</v>
      </c>
      <c r="D40" s="1">
        <v>63.65</v>
      </c>
      <c r="E40" s="1">
        <v>99.68</v>
      </c>
      <c r="F40" s="1">
        <v>0.32</v>
      </c>
      <c r="G40" s="1">
        <v>17.260000000000002</v>
      </c>
      <c r="H40" s="1">
        <v>15.76</v>
      </c>
      <c r="I40" s="1">
        <v>18.77</v>
      </c>
      <c r="J40" s="1">
        <v>8.1</v>
      </c>
      <c r="K40" s="1">
        <v>16.600000000000001</v>
      </c>
      <c r="L40" s="1">
        <v>355</v>
      </c>
      <c r="M40" s="1">
        <v>182</v>
      </c>
      <c r="N40" s="1">
        <v>11</v>
      </c>
      <c r="O40" s="1">
        <v>117.55</v>
      </c>
      <c r="P40" s="1">
        <v>13.63</v>
      </c>
      <c r="Q40" s="1">
        <f t="shared" si="0"/>
        <v>7</v>
      </c>
    </row>
    <row r="41" spans="1:17" x14ac:dyDescent="0.3">
      <c r="A41" s="1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A42" s="1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">
      <c r="A43" s="1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3">
      <c r="A44" s="1">
        <v>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3">
      <c r="A45" s="1">
        <v>44</v>
      </c>
      <c r="Q45" s="1"/>
    </row>
    <row r="46" spans="1:17" x14ac:dyDescent="0.3">
      <c r="Q46" s="8"/>
    </row>
    <row r="47" spans="1:17" x14ac:dyDescent="0.3">
      <c r="Q47" s="8"/>
    </row>
    <row r="48" spans="1:17" x14ac:dyDescent="0.3">
      <c r="A48" s="3"/>
      <c r="B48" s="3">
        <f>SUMPRODUCT(1/COUNTIF(B2:B40,B2:B40))</f>
        <v>37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</row>
  </sheetData>
  <autoFilter ref="A1:Q48" xr:uid="{473E7C87-0AC7-4CD7-A1FD-07199C15FFC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A783-B562-45E9-B371-6FB14C5548FA}">
  <sheetPr codeName="Sheet3"/>
  <dimension ref="A1:Q43"/>
  <sheetViews>
    <sheetView topLeftCell="A19" workbookViewId="0">
      <selection activeCell="B44" sqref="B44"/>
    </sheetView>
  </sheetViews>
  <sheetFormatPr defaultRowHeight="14.4" x14ac:dyDescent="0.3"/>
  <cols>
    <col min="3" max="3" width="19.6640625" bestFit="1" customWidth="1"/>
    <col min="7" max="7" width="19.6640625" bestFit="1" customWidth="1"/>
    <col min="8" max="8" width="11.6640625" bestFit="1" customWidth="1"/>
    <col min="9" max="9" width="11.33203125" bestFit="1" customWidth="1"/>
    <col min="10" max="10" width="10.88671875" bestFit="1" customWidth="1"/>
    <col min="11" max="11" width="11.109375" bestFit="1" customWidth="1"/>
    <col min="12" max="12" width="13.44140625" bestFit="1" customWidth="1"/>
    <col min="13" max="13" width="9.6640625" bestFit="1" customWidth="1"/>
    <col min="14" max="14" width="8.6640625" bestFit="1" customWidth="1"/>
    <col min="16" max="16" width="9" bestFit="1" customWidth="1"/>
    <col min="17" max="17" width="14.109375" bestFit="1" customWidth="1"/>
  </cols>
  <sheetData>
    <row r="1" spans="1:17" x14ac:dyDescent="0.3">
      <c r="A1" s="2" t="s">
        <v>14</v>
      </c>
      <c r="B1" s="2" t="s">
        <v>0</v>
      </c>
      <c r="C1" s="2" t="s">
        <v>1</v>
      </c>
      <c r="D1" s="2" t="s">
        <v>2</v>
      </c>
      <c r="E1" s="2" t="s">
        <v>21</v>
      </c>
      <c r="F1" s="2" t="s">
        <v>3</v>
      </c>
      <c r="G1" s="2" t="s">
        <v>26</v>
      </c>
      <c r="H1" s="2" t="s">
        <v>22</v>
      </c>
      <c r="I1" s="2" t="s">
        <v>23</v>
      </c>
      <c r="J1" s="2" t="s">
        <v>4</v>
      </c>
      <c r="K1" s="2" t="s">
        <v>5</v>
      </c>
      <c r="L1" s="2" t="s">
        <v>7</v>
      </c>
      <c r="M1" s="2" t="s">
        <v>24</v>
      </c>
      <c r="N1" s="2" t="s">
        <v>6</v>
      </c>
      <c r="O1" s="2" t="s">
        <v>36</v>
      </c>
      <c r="P1" s="2" t="s">
        <v>8</v>
      </c>
      <c r="Q1" s="2" t="s">
        <v>20</v>
      </c>
    </row>
    <row r="2" spans="1:17" x14ac:dyDescent="0.3">
      <c r="A2" s="1">
        <v>1</v>
      </c>
      <c r="B2" s="107">
        <v>1</v>
      </c>
      <c r="C2" s="107" t="s">
        <v>137</v>
      </c>
      <c r="D2" s="107">
        <v>90.61</v>
      </c>
      <c r="E2" s="107">
        <v>99.13</v>
      </c>
      <c r="F2" s="107">
        <v>0.87</v>
      </c>
      <c r="G2" s="107">
        <v>3.15</v>
      </c>
      <c r="H2" s="107">
        <v>2.57</v>
      </c>
      <c r="I2" s="107">
        <v>5.37</v>
      </c>
      <c r="J2" s="107">
        <v>3.7</v>
      </c>
      <c r="K2" s="107">
        <v>8.2799999999999994</v>
      </c>
      <c r="L2" s="107">
        <v>127</v>
      </c>
      <c r="M2" s="107">
        <v>26</v>
      </c>
      <c r="N2" s="107">
        <v>7</v>
      </c>
      <c r="O2" s="107">
        <v>223.88</v>
      </c>
      <c r="P2" s="107">
        <v>20.27</v>
      </c>
      <c r="Q2" s="1">
        <f>VALUE(LEFT(C2, FIND(" lbs", C2)-1))</f>
        <v>6.25</v>
      </c>
    </row>
    <row r="3" spans="1:17" x14ac:dyDescent="0.3">
      <c r="A3" s="1">
        <v>2</v>
      </c>
      <c r="B3" s="107">
        <v>3</v>
      </c>
      <c r="C3" s="107" t="s">
        <v>143</v>
      </c>
      <c r="D3" s="107">
        <v>81.25</v>
      </c>
      <c r="E3" s="107">
        <v>99.77</v>
      </c>
      <c r="F3" s="107">
        <v>0.23</v>
      </c>
      <c r="G3" s="107">
        <v>12.74</v>
      </c>
      <c r="H3" s="107">
        <v>12.08</v>
      </c>
      <c r="I3" s="107">
        <v>5.78</v>
      </c>
      <c r="J3" s="107">
        <v>2.2999999999999998</v>
      </c>
      <c r="K3" s="107">
        <v>5.75</v>
      </c>
      <c r="L3" s="107">
        <v>197</v>
      </c>
      <c r="M3" s="107">
        <v>118</v>
      </c>
      <c r="N3" s="107">
        <v>12</v>
      </c>
      <c r="O3" s="107">
        <v>332.75</v>
      </c>
      <c r="P3" s="107">
        <v>22.1</v>
      </c>
      <c r="Q3" s="1">
        <f t="shared" ref="Q3:Q37" si="0">VALUE(LEFT(C3, FIND(" lbs", C3)-1))</f>
        <v>9.6</v>
      </c>
    </row>
    <row r="4" spans="1:17" x14ac:dyDescent="0.3">
      <c r="A4" s="1">
        <v>3</v>
      </c>
      <c r="B4" s="107">
        <v>4</v>
      </c>
      <c r="C4" s="107" t="s">
        <v>143</v>
      </c>
      <c r="D4" s="107">
        <v>56.39</v>
      </c>
      <c r="E4" s="107">
        <v>81.650000000000006</v>
      </c>
      <c r="F4" s="107">
        <v>18.350000000000001</v>
      </c>
      <c r="G4" s="107">
        <v>21.76</v>
      </c>
      <c r="H4" s="107">
        <v>21.5</v>
      </c>
      <c r="I4" s="107">
        <v>3.5</v>
      </c>
      <c r="J4" s="107">
        <v>2</v>
      </c>
      <c r="K4" s="107">
        <v>2.44</v>
      </c>
      <c r="L4" s="107">
        <v>146</v>
      </c>
      <c r="M4" s="107">
        <v>122</v>
      </c>
      <c r="N4" s="107">
        <v>8</v>
      </c>
      <c r="O4" s="107">
        <v>217.36</v>
      </c>
      <c r="P4" s="107">
        <v>21.97</v>
      </c>
      <c r="Q4" s="1">
        <f t="shared" si="0"/>
        <v>9.6</v>
      </c>
    </row>
    <row r="5" spans="1:17" x14ac:dyDescent="0.3">
      <c r="A5" s="1">
        <v>4</v>
      </c>
      <c r="B5" s="107">
        <v>5</v>
      </c>
      <c r="C5" s="107" t="s">
        <v>135</v>
      </c>
      <c r="D5" s="107">
        <v>27.42</v>
      </c>
      <c r="E5" s="107">
        <v>87.86</v>
      </c>
      <c r="F5" s="107">
        <v>12.14</v>
      </c>
      <c r="G5" s="107">
        <v>10.65</v>
      </c>
      <c r="H5" s="107">
        <v>7.86</v>
      </c>
      <c r="I5" s="107">
        <v>49.79</v>
      </c>
      <c r="J5" s="107">
        <v>47.3</v>
      </c>
      <c r="K5" s="107">
        <v>19.079999999999998</v>
      </c>
      <c r="L5" s="107">
        <v>257</v>
      </c>
      <c r="M5" s="107">
        <v>58</v>
      </c>
      <c r="N5" s="107">
        <v>5</v>
      </c>
      <c r="O5" s="107">
        <v>149.01</v>
      </c>
      <c r="P5" s="107">
        <v>21.91</v>
      </c>
      <c r="Q5" s="1">
        <f t="shared" si="0"/>
        <v>13</v>
      </c>
    </row>
    <row r="6" spans="1:17" x14ac:dyDescent="0.3">
      <c r="A6" s="1">
        <v>5</v>
      </c>
      <c r="B6" s="107">
        <v>6</v>
      </c>
      <c r="C6" s="107" t="s">
        <v>10</v>
      </c>
      <c r="D6" s="107">
        <v>70.56</v>
      </c>
      <c r="E6" s="107">
        <v>86.26</v>
      </c>
      <c r="F6" s="107">
        <v>13.74</v>
      </c>
      <c r="G6" s="107">
        <v>6.28</v>
      </c>
      <c r="H6" s="107">
        <v>5.62</v>
      </c>
      <c r="I6" s="107">
        <v>9.43</v>
      </c>
      <c r="J6" s="107">
        <v>3.2</v>
      </c>
      <c r="K6" s="107">
        <v>8.3000000000000007</v>
      </c>
      <c r="L6" s="107">
        <v>178</v>
      </c>
      <c r="M6" s="107">
        <v>59</v>
      </c>
      <c r="N6" s="107">
        <v>14</v>
      </c>
      <c r="O6" s="107">
        <v>355.02</v>
      </c>
      <c r="P6" s="107">
        <v>25.71</v>
      </c>
      <c r="Q6" s="1">
        <f t="shared" si="0"/>
        <v>10</v>
      </c>
    </row>
    <row r="7" spans="1:17" x14ac:dyDescent="0.3">
      <c r="A7" s="1">
        <v>6</v>
      </c>
      <c r="B7" s="107">
        <v>7</v>
      </c>
      <c r="C7" s="107" t="s">
        <v>135</v>
      </c>
      <c r="D7" s="107">
        <v>76.95</v>
      </c>
      <c r="E7" s="107">
        <v>98.09</v>
      </c>
      <c r="F7" s="107">
        <v>1.91</v>
      </c>
      <c r="G7" s="107">
        <v>10.34</v>
      </c>
      <c r="H7" s="107">
        <v>9.4</v>
      </c>
      <c r="I7" s="107">
        <v>10.8</v>
      </c>
      <c r="J7" s="107">
        <v>3.4</v>
      </c>
      <c r="K7" s="107">
        <v>9.1300000000000008</v>
      </c>
      <c r="L7" s="107">
        <v>275</v>
      </c>
      <c r="M7" s="107">
        <v>145</v>
      </c>
      <c r="N7" s="107">
        <v>15</v>
      </c>
      <c r="O7" s="107">
        <v>488.67</v>
      </c>
      <c r="P7" s="107">
        <v>25.04</v>
      </c>
      <c r="Q7" s="1">
        <f t="shared" si="0"/>
        <v>13</v>
      </c>
    </row>
    <row r="8" spans="1:17" x14ac:dyDescent="0.3">
      <c r="A8" s="1">
        <v>7</v>
      </c>
      <c r="B8" s="107">
        <v>8</v>
      </c>
      <c r="C8" s="107" t="s">
        <v>135</v>
      </c>
      <c r="D8" s="107">
        <v>71.81</v>
      </c>
      <c r="E8" s="107">
        <v>88.15</v>
      </c>
      <c r="F8" s="107">
        <v>11.85</v>
      </c>
      <c r="G8" s="107">
        <v>8.08</v>
      </c>
      <c r="H8" s="107">
        <v>7.53</v>
      </c>
      <c r="I8" s="107">
        <v>8.26</v>
      </c>
      <c r="J8" s="107">
        <v>2.6</v>
      </c>
      <c r="K8" s="107">
        <v>6.67</v>
      </c>
      <c r="L8" s="107">
        <v>202</v>
      </c>
      <c r="M8" s="107">
        <v>119</v>
      </c>
      <c r="N8" s="107">
        <v>15</v>
      </c>
      <c r="O8" s="107">
        <v>473.96</v>
      </c>
      <c r="P8" s="107">
        <v>25.93</v>
      </c>
      <c r="Q8" s="1">
        <f t="shared" si="0"/>
        <v>13</v>
      </c>
    </row>
    <row r="9" spans="1:17" x14ac:dyDescent="0.3">
      <c r="A9" s="1">
        <v>8</v>
      </c>
      <c r="B9" s="107">
        <v>9</v>
      </c>
      <c r="C9" s="107" t="s">
        <v>9</v>
      </c>
      <c r="D9" s="107">
        <v>62.49</v>
      </c>
      <c r="E9" s="107">
        <v>96.48</v>
      </c>
      <c r="F9" s="107">
        <v>3.52</v>
      </c>
      <c r="G9" s="107">
        <v>13.98</v>
      </c>
      <c r="H9" s="107">
        <v>2.2999999999999998</v>
      </c>
      <c r="I9" s="107">
        <v>20.010000000000002</v>
      </c>
      <c r="J9" s="107">
        <v>13.7</v>
      </c>
      <c r="K9" s="107">
        <v>9.98</v>
      </c>
      <c r="L9" s="107">
        <v>267</v>
      </c>
      <c r="M9" s="107">
        <v>54</v>
      </c>
      <c r="N9" s="107">
        <v>7</v>
      </c>
      <c r="O9" s="107">
        <v>169.13</v>
      </c>
      <c r="P9" s="107">
        <v>17.28</v>
      </c>
      <c r="Q9" s="1">
        <f t="shared" si="0"/>
        <v>8</v>
      </c>
    </row>
    <row r="10" spans="1:17" x14ac:dyDescent="0.3">
      <c r="A10" s="1">
        <v>9</v>
      </c>
      <c r="B10" s="107">
        <v>10</v>
      </c>
      <c r="C10" s="107" t="s">
        <v>135</v>
      </c>
      <c r="D10" s="107">
        <v>73</v>
      </c>
      <c r="E10" s="107">
        <v>90.91</v>
      </c>
      <c r="F10" s="107">
        <v>9.09</v>
      </c>
      <c r="G10" s="107">
        <v>11.49</v>
      </c>
      <c r="H10" s="107">
        <v>10.82</v>
      </c>
      <c r="I10" s="107">
        <v>6.41</v>
      </c>
      <c r="J10" s="107">
        <v>2.4</v>
      </c>
      <c r="K10" s="107">
        <v>7.55</v>
      </c>
      <c r="L10" s="107">
        <v>233</v>
      </c>
      <c r="M10" s="107">
        <v>131</v>
      </c>
      <c r="N10" s="107">
        <v>13</v>
      </c>
      <c r="O10" s="107">
        <v>402.86</v>
      </c>
      <c r="P10" s="107">
        <v>21.7</v>
      </c>
      <c r="Q10" s="1">
        <f t="shared" si="0"/>
        <v>13</v>
      </c>
    </row>
    <row r="11" spans="1:17" x14ac:dyDescent="0.3">
      <c r="A11" s="1">
        <v>10</v>
      </c>
      <c r="B11" s="107">
        <v>11</v>
      </c>
      <c r="C11" s="107" t="s">
        <v>135</v>
      </c>
      <c r="D11" s="107">
        <v>69.94</v>
      </c>
      <c r="E11" s="107">
        <v>89.53</v>
      </c>
      <c r="F11" s="107">
        <v>10.47</v>
      </c>
      <c r="G11" s="107">
        <v>12.84</v>
      </c>
      <c r="H11" s="107">
        <v>12.46</v>
      </c>
      <c r="I11" s="107">
        <v>6.75</v>
      </c>
      <c r="J11" s="107">
        <v>2.5</v>
      </c>
      <c r="K11" s="107">
        <v>4.5599999999999996</v>
      </c>
      <c r="L11" s="107">
        <v>191</v>
      </c>
      <c r="M11" s="107">
        <v>121</v>
      </c>
      <c r="N11" s="107">
        <v>13</v>
      </c>
      <c r="O11" s="107">
        <v>394.31</v>
      </c>
      <c r="P11" s="107">
        <v>22.23</v>
      </c>
      <c r="Q11" s="1">
        <f t="shared" si="0"/>
        <v>13</v>
      </c>
    </row>
    <row r="12" spans="1:17" x14ac:dyDescent="0.3">
      <c r="A12" s="1">
        <v>11</v>
      </c>
      <c r="B12" s="107">
        <v>13</v>
      </c>
      <c r="C12" s="107" t="s">
        <v>135</v>
      </c>
      <c r="D12" s="107">
        <v>69.569999999999993</v>
      </c>
      <c r="E12" s="107">
        <v>91.6</v>
      </c>
      <c r="F12" s="107">
        <v>8.4</v>
      </c>
      <c r="G12" s="107">
        <v>11.44</v>
      </c>
      <c r="H12" s="107">
        <v>10.89</v>
      </c>
      <c r="I12" s="107">
        <v>10.59</v>
      </c>
      <c r="J12" s="107">
        <v>3.6</v>
      </c>
      <c r="K12" s="107">
        <v>4.33</v>
      </c>
      <c r="L12" s="107">
        <v>178</v>
      </c>
      <c r="M12" s="107">
        <v>97</v>
      </c>
      <c r="N12" s="107">
        <v>14</v>
      </c>
      <c r="O12" s="107">
        <v>416.6</v>
      </c>
      <c r="P12" s="107">
        <v>24.91</v>
      </c>
      <c r="Q12" s="1">
        <f t="shared" si="0"/>
        <v>13</v>
      </c>
    </row>
    <row r="13" spans="1:17" x14ac:dyDescent="0.3">
      <c r="A13" s="1">
        <v>12</v>
      </c>
      <c r="B13" s="107">
        <v>15</v>
      </c>
      <c r="C13" s="107" t="s">
        <v>40</v>
      </c>
      <c r="D13" s="107">
        <v>64.8</v>
      </c>
      <c r="E13" s="107">
        <v>81.56</v>
      </c>
      <c r="F13" s="107">
        <v>18.440000000000001</v>
      </c>
      <c r="G13" s="107">
        <v>8.74</v>
      </c>
      <c r="H13" s="107">
        <v>8.16</v>
      </c>
      <c r="I13" s="107">
        <v>8.02</v>
      </c>
      <c r="J13" s="107">
        <v>3</v>
      </c>
      <c r="K13" s="107">
        <v>9.9700000000000006</v>
      </c>
      <c r="L13" s="107">
        <v>197</v>
      </c>
      <c r="M13" s="107">
        <v>93</v>
      </c>
      <c r="N13" s="107">
        <v>13</v>
      </c>
      <c r="O13" s="107">
        <v>417.11</v>
      </c>
      <c r="P13" s="107">
        <v>23.73</v>
      </c>
      <c r="Q13" s="1">
        <f t="shared" si="0"/>
        <v>14</v>
      </c>
    </row>
    <row r="14" spans="1:17" x14ac:dyDescent="0.3">
      <c r="A14" s="1">
        <v>13</v>
      </c>
      <c r="B14" s="107">
        <v>16</v>
      </c>
      <c r="C14" s="107" t="s">
        <v>40</v>
      </c>
      <c r="D14" s="107">
        <v>53.96</v>
      </c>
      <c r="E14" s="107">
        <v>100</v>
      </c>
      <c r="F14" s="107">
        <v>0</v>
      </c>
      <c r="G14" s="107">
        <v>8.06</v>
      </c>
      <c r="H14" s="107">
        <v>7.08</v>
      </c>
      <c r="I14" s="107">
        <v>37.979999999999997</v>
      </c>
      <c r="J14" s="107">
        <v>8.3000000000000007</v>
      </c>
      <c r="K14" s="107">
        <v>6.4</v>
      </c>
      <c r="L14" s="107">
        <v>209</v>
      </c>
      <c r="M14" s="107">
        <v>105</v>
      </c>
      <c r="N14" s="107">
        <v>22</v>
      </c>
      <c r="O14" s="107">
        <v>360.44</v>
      </c>
      <c r="P14" s="107">
        <v>24.36</v>
      </c>
      <c r="Q14" s="1">
        <f t="shared" si="0"/>
        <v>14</v>
      </c>
    </row>
    <row r="15" spans="1:17" x14ac:dyDescent="0.3">
      <c r="A15" s="1">
        <v>14</v>
      </c>
      <c r="B15" s="107">
        <v>17</v>
      </c>
      <c r="C15" s="107" t="s">
        <v>10</v>
      </c>
      <c r="D15" s="107">
        <v>80.989999999999995</v>
      </c>
      <c r="E15" s="107">
        <v>90.79</v>
      </c>
      <c r="F15" s="107">
        <v>9.2100000000000009</v>
      </c>
      <c r="G15" s="107">
        <v>5.27</v>
      </c>
      <c r="H15" s="107">
        <v>4.7699999999999996</v>
      </c>
      <c r="I15" s="107">
        <v>4.54</v>
      </c>
      <c r="J15" s="107">
        <v>3.1</v>
      </c>
      <c r="K15" s="107">
        <v>8.5</v>
      </c>
      <c r="L15" s="107">
        <v>164</v>
      </c>
      <c r="M15" s="107">
        <v>75</v>
      </c>
      <c r="N15" s="107">
        <v>7</v>
      </c>
      <c r="O15" s="107">
        <v>332.52</v>
      </c>
      <c r="P15" s="107">
        <v>21.37</v>
      </c>
      <c r="Q15" s="1">
        <f t="shared" si="0"/>
        <v>10</v>
      </c>
    </row>
    <row r="16" spans="1:17" x14ac:dyDescent="0.3">
      <c r="A16" s="1">
        <v>15</v>
      </c>
      <c r="B16" s="107">
        <v>18</v>
      </c>
      <c r="C16" s="107" t="s">
        <v>9</v>
      </c>
      <c r="D16" s="107">
        <v>76.56</v>
      </c>
      <c r="E16" s="107">
        <v>83.55</v>
      </c>
      <c r="F16" s="107">
        <v>16.45</v>
      </c>
      <c r="G16" s="107">
        <v>6.99</v>
      </c>
      <c r="H16" s="107">
        <v>6.5</v>
      </c>
      <c r="I16" s="107">
        <v>0</v>
      </c>
      <c r="J16" s="107">
        <v>0</v>
      </c>
      <c r="K16" s="107">
        <v>11.1</v>
      </c>
      <c r="L16" s="107">
        <v>146</v>
      </c>
      <c r="M16" s="107">
        <v>58</v>
      </c>
      <c r="N16" s="107">
        <v>7</v>
      </c>
      <c r="O16" s="107">
        <v>243.4</v>
      </c>
      <c r="P16" s="107">
        <v>20.47</v>
      </c>
      <c r="Q16" s="1">
        <f t="shared" si="0"/>
        <v>8</v>
      </c>
    </row>
    <row r="17" spans="1:17" x14ac:dyDescent="0.3">
      <c r="A17" s="1">
        <v>16</v>
      </c>
      <c r="B17" s="107">
        <v>19</v>
      </c>
      <c r="C17" s="107" t="s">
        <v>9</v>
      </c>
      <c r="D17" s="107">
        <v>93.43</v>
      </c>
      <c r="E17" s="107">
        <v>97.62</v>
      </c>
      <c r="F17" s="107">
        <v>2.38</v>
      </c>
      <c r="G17" s="107">
        <v>0.33</v>
      </c>
      <c r="H17" s="107">
        <v>0</v>
      </c>
      <c r="I17" s="107">
        <v>3.86</v>
      </c>
      <c r="J17" s="107">
        <v>2.2999999999999998</v>
      </c>
      <c r="K17" s="107">
        <v>8.6999999999999993</v>
      </c>
      <c r="L17" s="107">
        <v>76</v>
      </c>
      <c r="M17" s="107">
        <v>0</v>
      </c>
      <c r="N17" s="107">
        <v>8</v>
      </c>
      <c r="O17" s="107">
        <v>272.14</v>
      </c>
      <c r="P17" s="107">
        <v>20.49</v>
      </c>
      <c r="Q17" s="1">
        <f t="shared" si="0"/>
        <v>8</v>
      </c>
    </row>
    <row r="18" spans="1:17" x14ac:dyDescent="0.3">
      <c r="A18" s="1">
        <v>17</v>
      </c>
      <c r="B18" s="107">
        <v>20</v>
      </c>
      <c r="C18" s="107" t="s">
        <v>9</v>
      </c>
      <c r="D18" s="107">
        <v>81.97</v>
      </c>
      <c r="E18" s="107">
        <v>96.38</v>
      </c>
      <c r="F18" s="107">
        <v>3.62</v>
      </c>
      <c r="G18" s="107">
        <v>6.75</v>
      </c>
      <c r="H18" s="107">
        <v>5.99</v>
      </c>
      <c r="I18" s="107">
        <v>7.66</v>
      </c>
      <c r="J18" s="107">
        <v>4.5999999999999996</v>
      </c>
      <c r="K18" s="107">
        <v>6.84</v>
      </c>
      <c r="L18" s="107">
        <v>197</v>
      </c>
      <c r="M18" s="107">
        <v>101</v>
      </c>
      <c r="N18" s="107">
        <v>8</v>
      </c>
      <c r="O18" s="107">
        <v>259.77999999999997</v>
      </c>
      <c r="P18" s="107">
        <v>20.23</v>
      </c>
      <c r="Q18" s="1">
        <f t="shared" si="0"/>
        <v>8</v>
      </c>
    </row>
    <row r="19" spans="1:17" x14ac:dyDescent="0.3">
      <c r="A19" s="1">
        <v>18</v>
      </c>
      <c r="B19" s="107">
        <v>21</v>
      </c>
      <c r="C19" s="107" t="s">
        <v>9</v>
      </c>
      <c r="D19" s="107">
        <v>85.5</v>
      </c>
      <c r="E19" s="107">
        <v>97.05</v>
      </c>
      <c r="F19" s="107">
        <v>2.95</v>
      </c>
      <c r="G19" s="107">
        <v>6.39</v>
      </c>
      <c r="H19" s="107">
        <v>6.02</v>
      </c>
      <c r="I19" s="107">
        <v>5.16</v>
      </c>
      <c r="J19" s="107">
        <v>3.1</v>
      </c>
      <c r="K19" s="107">
        <v>4.0999999999999996</v>
      </c>
      <c r="L19" s="107">
        <v>120</v>
      </c>
      <c r="M19" s="107">
        <v>74</v>
      </c>
      <c r="N19" s="107">
        <v>8</v>
      </c>
      <c r="O19" s="107">
        <v>272.91000000000003</v>
      </c>
      <c r="P19" s="107">
        <v>20.39</v>
      </c>
      <c r="Q19" s="1">
        <f t="shared" si="0"/>
        <v>8</v>
      </c>
    </row>
    <row r="20" spans="1:17" x14ac:dyDescent="0.3">
      <c r="A20" s="1">
        <v>19</v>
      </c>
      <c r="B20" s="107">
        <v>22</v>
      </c>
      <c r="C20" s="107" t="s">
        <v>9</v>
      </c>
      <c r="D20" s="107">
        <v>76.73</v>
      </c>
      <c r="E20" s="107">
        <v>85.4</v>
      </c>
      <c r="F20" s="107">
        <v>14.6</v>
      </c>
      <c r="G20" s="107">
        <v>3.76</v>
      </c>
      <c r="H20" s="107">
        <v>3.44</v>
      </c>
      <c r="I20" s="107">
        <v>4.9000000000000004</v>
      </c>
      <c r="J20" s="107">
        <v>3.4</v>
      </c>
      <c r="K20" s="107">
        <v>4.9400000000000004</v>
      </c>
      <c r="L20" s="107">
        <v>103</v>
      </c>
      <c r="M20" s="107">
        <v>54</v>
      </c>
      <c r="N20" s="107">
        <v>7</v>
      </c>
      <c r="O20" s="107">
        <v>244.13</v>
      </c>
      <c r="P20" s="107">
        <v>20.32</v>
      </c>
      <c r="Q20" s="1">
        <f t="shared" si="0"/>
        <v>8</v>
      </c>
    </row>
    <row r="21" spans="1:17" x14ac:dyDescent="0.3">
      <c r="A21" s="1">
        <v>20</v>
      </c>
      <c r="B21" s="107">
        <v>23</v>
      </c>
      <c r="C21" s="107" t="s">
        <v>9</v>
      </c>
      <c r="D21" s="107">
        <v>76.2</v>
      </c>
      <c r="E21" s="107">
        <v>92.78</v>
      </c>
      <c r="F21" s="107">
        <v>7.22</v>
      </c>
      <c r="G21" s="107">
        <v>8.32</v>
      </c>
      <c r="H21" s="107">
        <v>8</v>
      </c>
      <c r="I21" s="107">
        <v>8.26</v>
      </c>
      <c r="J21" s="107">
        <v>4.9000000000000004</v>
      </c>
      <c r="K21" s="107">
        <v>2.97</v>
      </c>
      <c r="L21" s="107">
        <v>129</v>
      </c>
      <c r="M21" s="107">
        <v>85</v>
      </c>
      <c r="N21" s="107">
        <v>8</v>
      </c>
      <c r="O21" s="107">
        <v>244.2</v>
      </c>
      <c r="P21" s="107">
        <v>20.45</v>
      </c>
      <c r="Q21" s="1">
        <f t="shared" si="0"/>
        <v>8</v>
      </c>
    </row>
    <row r="22" spans="1:17" x14ac:dyDescent="0.3">
      <c r="A22" s="1">
        <v>21</v>
      </c>
      <c r="B22" s="107">
        <v>24</v>
      </c>
      <c r="C22" s="107" t="s">
        <v>9</v>
      </c>
      <c r="D22" s="107">
        <v>68.680000000000007</v>
      </c>
      <c r="E22" s="107">
        <v>88.99</v>
      </c>
      <c r="F22" s="107">
        <v>11.01</v>
      </c>
      <c r="G22" s="107">
        <v>10.66</v>
      </c>
      <c r="H22" s="107">
        <v>10.15</v>
      </c>
      <c r="I22" s="107">
        <v>9.65</v>
      </c>
      <c r="J22" s="107">
        <v>6.5</v>
      </c>
      <c r="K22" s="107">
        <v>4.41</v>
      </c>
      <c r="L22" s="107">
        <v>170</v>
      </c>
      <c r="M22" s="107">
        <v>104</v>
      </c>
      <c r="N22" s="107">
        <v>7</v>
      </c>
      <c r="O22" s="107">
        <v>111.06</v>
      </c>
      <c r="P22" s="107">
        <v>10.48</v>
      </c>
      <c r="Q22" s="1">
        <f t="shared" si="0"/>
        <v>8</v>
      </c>
    </row>
    <row r="23" spans="1:17" x14ac:dyDescent="0.3">
      <c r="A23" s="1">
        <v>22</v>
      </c>
      <c r="B23" s="107">
        <v>25</v>
      </c>
      <c r="C23" s="107" t="s">
        <v>9</v>
      </c>
      <c r="D23" s="107">
        <v>89.14</v>
      </c>
      <c r="E23" s="107">
        <v>98.56</v>
      </c>
      <c r="F23" s="107">
        <v>1.44</v>
      </c>
      <c r="G23" s="107">
        <v>5.91</v>
      </c>
      <c r="H23" s="107">
        <v>4.6100000000000003</v>
      </c>
      <c r="I23" s="107">
        <v>3.51</v>
      </c>
      <c r="J23" s="107">
        <v>2.4</v>
      </c>
      <c r="K23" s="107">
        <v>16.21</v>
      </c>
      <c r="L23" s="107">
        <v>316</v>
      </c>
      <c r="M23" s="107">
        <v>110</v>
      </c>
      <c r="N23" s="107">
        <v>7</v>
      </c>
      <c r="O23" s="107">
        <v>264.16000000000003</v>
      </c>
      <c r="P23" s="107">
        <v>18.97</v>
      </c>
      <c r="Q23" s="1">
        <f t="shared" si="0"/>
        <v>8</v>
      </c>
    </row>
    <row r="24" spans="1:17" x14ac:dyDescent="0.3">
      <c r="A24" s="1">
        <v>23</v>
      </c>
      <c r="B24" s="107">
        <v>27</v>
      </c>
      <c r="C24" s="107" t="s">
        <v>9</v>
      </c>
      <c r="D24" s="107">
        <v>66.19</v>
      </c>
      <c r="E24" s="107">
        <v>78.03</v>
      </c>
      <c r="F24" s="107">
        <v>21.97</v>
      </c>
      <c r="G24" s="107">
        <v>5.63</v>
      </c>
      <c r="H24" s="107">
        <v>4.9000000000000004</v>
      </c>
      <c r="I24" s="107">
        <v>6.21</v>
      </c>
      <c r="J24" s="107">
        <v>5</v>
      </c>
      <c r="K24" s="107">
        <v>15.28</v>
      </c>
      <c r="L24" s="107">
        <v>198</v>
      </c>
      <c r="M24" s="107">
        <v>65</v>
      </c>
      <c r="N24" s="107">
        <v>6</v>
      </c>
      <c r="O24" s="107">
        <v>191.8</v>
      </c>
      <c r="P24" s="107">
        <v>18.5</v>
      </c>
      <c r="Q24" s="1">
        <f t="shared" si="0"/>
        <v>8</v>
      </c>
    </row>
    <row r="25" spans="1:17" x14ac:dyDescent="0.3">
      <c r="A25" s="1">
        <v>24</v>
      </c>
      <c r="B25" s="107">
        <v>30</v>
      </c>
      <c r="C25" s="107" t="s">
        <v>9</v>
      </c>
      <c r="D25" s="107">
        <v>76.73</v>
      </c>
      <c r="E25" s="107">
        <v>88.65</v>
      </c>
      <c r="F25" s="107">
        <v>11.35</v>
      </c>
      <c r="G25" s="107">
        <v>7.52</v>
      </c>
      <c r="H25" s="107">
        <v>7.04</v>
      </c>
      <c r="I25" s="107">
        <v>4.4000000000000004</v>
      </c>
      <c r="J25" s="107">
        <v>3.5</v>
      </c>
      <c r="K25" s="107">
        <v>5.45</v>
      </c>
      <c r="L25" s="107">
        <v>189</v>
      </c>
      <c r="M25" s="107">
        <v>117</v>
      </c>
      <c r="N25" s="107">
        <v>6</v>
      </c>
      <c r="O25" s="107">
        <v>221.37</v>
      </c>
      <c r="P25" s="107">
        <v>18.600000000000001</v>
      </c>
      <c r="Q25" s="1">
        <f t="shared" si="0"/>
        <v>8</v>
      </c>
    </row>
    <row r="26" spans="1:17" x14ac:dyDescent="0.3">
      <c r="A26" s="1">
        <v>25</v>
      </c>
      <c r="B26" s="107">
        <v>31</v>
      </c>
      <c r="C26" s="107" t="s">
        <v>40</v>
      </c>
      <c r="D26" s="107">
        <v>51.4</v>
      </c>
      <c r="E26" s="107">
        <v>74.290000000000006</v>
      </c>
      <c r="F26" s="107">
        <v>25.71</v>
      </c>
      <c r="G26" s="107">
        <v>20</v>
      </c>
      <c r="H26" s="107">
        <v>19.45</v>
      </c>
      <c r="I26" s="107">
        <v>2.89</v>
      </c>
      <c r="J26" s="107">
        <v>2.2999999999999998</v>
      </c>
      <c r="K26" s="107">
        <v>10.7</v>
      </c>
      <c r="L26" s="107">
        <v>218</v>
      </c>
      <c r="M26" s="107">
        <v>140</v>
      </c>
      <c r="N26" s="107">
        <v>6</v>
      </c>
      <c r="O26" s="107">
        <v>342.08</v>
      </c>
      <c r="P26" s="107">
        <v>24.31</v>
      </c>
      <c r="Q26" s="1">
        <f t="shared" si="0"/>
        <v>14</v>
      </c>
    </row>
    <row r="27" spans="1:17" x14ac:dyDescent="0.3">
      <c r="A27" s="1">
        <v>26</v>
      </c>
      <c r="B27" s="107">
        <v>32</v>
      </c>
      <c r="C27" s="107" t="s">
        <v>40</v>
      </c>
      <c r="D27" s="107">
        <v>61.77</v>
      </c>
      <c r="E27" s="107">
        <v>91.02</v>
      </c>
      <c r="F27" s="107">
        <v>8.98</v>
      </c>
      <c r="G27" s="107">
        <v>16.739999999999998</v>
      </c>
      <c r="H27" s="107">
        <v>15.97</v>
      </c>
      <c r="I27" s="107">
        <v>12.51</v>
      </c>
      <c r="J27" s="107">
        <v>4.2</v>
      </c>
      <c r="K27" s="107">
        <v>9.1199999999999992</v>
      </c>
      <c r="L27" s="107">
        <v>244</v>
      </c>
      <c r="M27" s="107">
        <v>133</v>
      </c>
      <c r="N27" s="107">
        <v>14</v>
      </c>
      <c r="O27" s="107">
        <v>411.97</v>
      </c>
      <c r="P27" s="107">
        <v>24.51</v>
      </c>
      <c r="Q27" s="1">
        <f t="shared" si="0"/>
        <v>14</v>
      </c>
    </row>
    <row r="28" spans="1:17" x14ac:dyDescent="0.3">
      <c r="A28" s="1">
        <v>27</v>
      </c>
      <c r="B28" s="107">
        <v>33</v>
      </c>
      <c r="C28" s="107" t="s">
        <v>39</v>
      </c>
      <c r="D28" s="107">
        <v>75.489999999999995</v>
      </c>
      <c r="E28" s="107">
        <v>90.02</v>
      </c>
      <c r="F28" s="107">
        <v>9.98</v>
      </c>
      <c r="G28" s="107">
        <v>6.82</v>
      </c>
      <c r="H28" s="107">
        <v>6.34</v>
      </c>
      <c r="I28" s="107">
        <v>7.72</v>
      </c>
      <c r="J28" s="107">
        <v>5.3</v>
      </c>
      <c r="K28" s="107">
        <v>8.5</v>
      </c>
      <c r="L28" s="107">
        <v>149</v>
      </c>
      <c r="M28" s="107">
        <v>66</v>
      </c>
      <c r="N28" s="107">
        <v>7</v>
      </c>
      <c r="O28" s="107">
        <v>259.79000000000002</v>
      </c>
      <c r="P28" s="107">
        <v>19.5</v>
      </c>
      <c r="Q28" s="1">
        <f t="shared" si="0"/>
        <v>9</v>
      </c>
    </row>
    <row r="29" spans="1:17" x14ac:dyDescent="0.3">
      <c r="A29" s="1">
        <v>28</v>
      </c>
      <c r="B29" s="107">
        <v>34</v>
      </c>
      <c r="C29" s="107" t="s">
        <v>12</v>
      </c>
      <c r="D29" s="107">
        <v>71.819999999999993</v>
      </c>
      <c r="E29" s="107">
        <v>82.68</v>
      </c>
      <c r="F29" s="107">
        <v>17.32</v>
      </c>
      <c r="G29" s="107">
        <v>5.58</v>
      </c>
      <c r="H29" s="107">
        <v>4.91</v>
      </c>
      <c r="I29" s="107">
        <v>5.28</v>
      </c>
      <c r="J29" s="107">
        <v>3.6</v>
      </c>
      <c r="K29" s="107">
        <v>9.8699999999999992</v>
      </c>
      <c r="L29" s="107">
        <v>149</v>
      </c>
      <c r="M29" s="107">
        <v>56</v>
      </c>
      <c r="N29" s="107">
        <v>7</v>
      </c>
      <c r="O29" s="107">
        <v>199.59</v>
      </c>
      <c r="P29" s="107">
        <v>18.71</v>
      </c>
      <c r="Q29" s="1">
        <f t="shared" si="0"/>
        <v>7</v>
      </c>
    </row>
    <row r="30" spans="1:17" x14ac:dyDescent="0.3">
      <c r="A30" s="1">
        <v>29</v>
      </c>
      <c r="B30" s="107">
        <v>35</v>
      </c>
      <c r="C30" s="107" t="s">
        <v>11</v>
      </c>
      <c r="D30" s="107">
        <v>67.75</v>
      </c>
      <c r="E30" s="107">
        <v>79.83</v>
      </c>
      <c r="F30" s="107">
        <v>20.170000000000002</v>
      </c>
      <c r="G30" s="107">
        <v>7.87</v>
      </c>
      <c r="H30" s="107">
        <v>7.09</v>
      </c>
      <c r="I30" s="107">
        <v>4.21</v>
      </c>
      <c r="J30" s="107">
        <v>2.9</v>
      </c>
      <c r="K30" s="107">
        <v>13.67</v>
      </c>
      <c r="L30" s="107">
        <v>191</v>
      </c>
      <c r="M30" s="107">
        <v>82</v>
      </c>
      <c r="N30" s="107">
        <v>7</v>
      </c>
      <c r="O30" s="107">
        <v>197.78</v>
      </c>
      <c r="P30" s="107">
        <v>19.54</v>
      </c>
      <c r="Q30" s="1">
        <f t="shared" si="0"/>
        <v>7.7</v>
      </c>
    </row>
    <row r="31" spans="1:17" x14ac:dyDescent="0.3">
      <c r="A31" s="1">
        <v>30</v>
      </c>
      <c r="B31" s="107">
        <v>36</v>
      </c>
      <c r="C31" s="107" t="s">
        <v>12</v>
      </c>
      <c r="D31" s="107">
        <v>70.64</v>
      </c>
      <c r="E31" s="107">
        <v>100</v>
      </c>
      <c r="F31" s="107">
        <v>0</v>
      </c>
      <c r="G31" s="107">
        <v>4.9800000000000004</v>
      </c>
      <c r="H31" s="107">
        <v>3.72</v>
      </c>
      <c r="I31" s="107">
        <v>24.38</v>
      </c>
      <c r="J31" s="107">
        <v>6.5</v>
      </c>
      <c r="K31" s="107">
        <v>14.93</v>
      </c>
      <c r="L31" s="107">
        <v>200</v>
      </c>
      <c r="M31" s="107">
        <v>48</v>
      </c>
      <c r="N31" s="107">
        <v>18</v>
      </c>
      <c r="O31" s="107">
        <v>199.63</v>
      </c>
      <c r="P31" s="107">
        <v>19.43</v>
      </c>
      <c r="Q31" s="1">
        <f t="shared" si="0"/>
        <v>7</v>
      </c>
    </row>
    <row r="32" spans="1:17" x14ac:dyDescent="0.3">
      <c r="A32" s="1">
        <v>31</v>
      </c>
      <c r="B32" s="107">
        <v>37</v>
      </c>
      <c r="C32" s="107" t="s">
        <v>11</v>
      </c>
      <c r="D32" s="107">
        <v>81.260000000000005</v>
      </c>
      <c r="E32" s="107">
        <v>94.24</v>
      </c>
      <c r="F32" s="107">
        <v>5.76</v>
      </c>
      <c r="G32" s="107">
        <v>6.53</v>
      </c>
      <c r="H32" s="107">
        <v>6.2</v>
      </c>
      <c r="I32" s="107">
        <v>6.45</v>
      </c>
      <c r="J32" s="107">
        <v>4.8</v>
      </c>
      <c r="K32" s="107">
        <v>2.83</v>
      </c>
      <c r="L32" s="107">
        <v>85</v>
      </c>
      <c r="M32" s="107">
        <v>48</v>
      </c>
      <c r="N32" s="107">
        <v>6</v>
      </c>
      <c r="O32" s="107">
        <v>171</v>
      </c>
      <c r="P32" s="107">
        <v>15.09</v>
      </c>
      <c r="Q32" s="1">
        <f t="shared" si="0"/>
        <v>7.7</v>
      </c>
    </row>
    <row r="33" spans="1:17" x14ac:dyDescent="0.3">
      <c r="A33" s="1">
        <v>32</v>
      </c>
      <c r="B33" s="107">
        <v>38</v>
      </c>
      <c r="C33" s="107" t="s">
        <v>13</v>
      </c>
      <c r="D33" s="107">
        <v>68.08</v>
      </c>
      <c r="E33" s="107">
        <v>99.72</v>
      </c>
      <c r="F33" s="107">
        <v>0.28000000000000003</v>
      </c>
      <c r="G33" s="107">
        <v>14.34</v>
      </c>
      <c r="H33" s="107">
        <v>12.13</v>
      </c>
      <c r="I33" s="107">
        <v>17.3</v>
      </c>
      <c r="J33" s="107">
        <v>6.7</v>
      </c>
      <c r="K33" s="107">
        <v>35.69</v>
      </c>
      <c r="L33" s="107">
        <v>495</v>
      </c>
      <c r="M33" s="107">
        <v>190</v>
      </c>
      <c r="N33" s="107">
        <v>12</v>
      </c>
      <c r="O33" s="107">
        <v>164.11</v>
      </c>
      <c r="P33" s="107">
        <v>15.38</v>
      </c>
      <c r="Q33" s="1">
        <f t="shared" si="0"/>
        <v>8.25</v>
      </c>
    </row>
    <row r="34" spans="1:17" x14ac:dyDescent="0.3">
      <c r="A34" s="1">
        <v>33</v>
      </c>
      <c r="B34" s="107">
        <v>39</v>
      </c>
      <c r="C34" s="107" t="s">
        <v>136</v>
      </c>
      <c r="D34" s="107">
        <v>82.18</v>
      </c>
      <c r="E34" s="107">
        <v>98</v>
      </c>
      <c r="F34" s="107">
        <v>2</v>
      </c>
      <c r="G34" s="107">
        <v>9.92</v>
      </c>
      <c r="H34" s="107">
        <v>9.25</v>
      </c>
      <c r="I34" s="107">
        <v>5.89</v>
      </c>
      <c r="J34" s="107">
        <v>4</v>
      </c>
      <c r="K34" s="107">
        <v>8.39</v>
      </c>
      <c r="L34" s="107">
        <v>178</v>
      </c>
      <c r="M34" s="107">
        <v>86</v>
      </c>
      <c r="N34" s="107">
        <v>7</v>
      </c>
      <c r="O34" s="107">
        <v>183.38</v>
      </c>
      <c r="P34" s="107">
        <v>16.260000000000002</v>
      </c>
      <c r="Q34" s="1">
        <f t="shared" si="0"/>
        <v>7</v>
      </c>
    </row>
    <row r="35" spans="1:17" x14ac:dyDescent="0.3">
      <c r="A35" s="1">
        <v>34</v>
      </c>
      <c r="B35" s="107">
        <v>40</v>
      </c>
      <c r="C35" s="107" t="s">
        <v>136</v>
      </c>
      <c r="D35" s="107">
        <v>83.8</v>
      </c>
      <c r="E35" s="107">
        <v>94.5</v>
      </c>
      <c r="F35" s="107">
        <v>5.5</v>
      </c>
      <c r="G35" s="107">
        <v>10.71</v>
      </c>
      <c r="H35" s="107">
        <v>9.16</v>
      </c>
      <c r="I35" s="107">
        <v>0</v>
      </c>
      <c r="J35" s="107">
        <v>0</v>
      </c>
      <c r="K35" s="107">
        <v>28.21</v>
      </c>
      <c r="L35" s="107">
        <v>375</v>
      </c>
      <c r="M35" s="107">
        <v>120</v>
      </c>
      <c r="N35" s="107">
        <v>5</v>
      </c>
      <c r="O35" s="107">
        <v>164.99</v>
      </c>
      <c r="P35" s="107">
        <v>14.37</v>
      </c>
      <c r="Q35" s="1">
        <f t="shared" si="0"/>
        <v>7</v>
      </c>
    </row>
    <row r="36" spans="1:17" x14ac:dyDescent="0.3">
      <c r="A36" s="1">
        <v>35</v>
      </c>
      <c r="B36" s="107">
        <v>41</v>
      </c>
      <c r="C36" s="107" t="s">
        <v>152</v>
      </c>
      <c r="D36" s="107">
        <v>87.58</v>
      </c>
      <c r="E36" s="107">
        <v>100</v>
      </c>
      <c r="F36" s="107">
        <v>0</v>
      </c>
      <c r="G36" s="107">
        <v>5.62</v>
      </c>
      <c r="H36" s="107">
        <v>4.92</v>
      </c>
      <c r="I36" s="107">
        <v>6.8</v>
      </c>
      <c r="J36" s="107">
        <v>5.4</v>
      </c>
      <c r="K36" s="107">
        <v>9.09</v>
      </c>
      <c r="L36" s="107">
        <v>174</v>
      </c>
      <c r="M36" s="107">
        <v>66</v>
      </c>
      <c r="N36" s="107">
        <v>6</v>
      </c>
      <c r="O36" s="107">
        <v>203.38</v>
      </c>
      <c r="P36" s="107">
        <v>14.38</v>
      </c>
      <c r="Q36" s="1">
        <f t="shared" si="0"/>
        <v>8.25</v>
      </c>
    </row>
    <row r="37" spans="1:17" x14ac:dyDescent="0.3">
      <c r="A37" s="1">
        <v>36</v>
      </c>
      <c r="B37" s="107">
        <v>42</v>
      </c>
      <c r="C37" s="107" t="s">
        <v>39</v>
      </c>
      <c r="D37" s="107">
        <v>71.040000000000006</v>
      </c>
      <c r="E37" s="107">
        <v>87.95</v>
      </c>
      <c r="F37" s="107">
        <v>12.05</v>
      </c>
      <c r="G37" s="107">
        <v>14.7</v>
      </c>
      <c r="H37" s="107">
        <v>12.58</v>
      </c>
      <c r="I37" s="107">
        <v>2.21</v>
      </c>
      <c r="J37" s="107">
        <v>5.0999999999999996</v>
      </c>
      <c r="K37" s="107">
        <v>36.619999999999997</v>
      </c>
      <c r="L37" s="107">
        <v>514</v>
      </c>
      <c r="M37" s="107">
        <v>207</v>
      </c>
      <c r="N37" s="107">
        <v>2</v>
      </c>
      <c r="O37" s="107">
        <v>174.61</v>
      </c>
      <c r="P37" s="107">
        <v>14.39</v>
      </c>
      <c r="Q37" s="1">
        <f t="shared" si="0"/>
        <v>9</v>
      </c>
    </row>
    <row r="38" spans="1:17" x14ac:dyDescent="0.3">
      <c r="A38" s="1">
        <v>37</v>
      </c>
      <c r="B38" s="107">
        <v>43</v>
      </c>
      <c r="C38" s="107" t="s">
        <v>136</v>
      </c>
      <c r="D38" s="107">
        <v>77.31</v>
      </c>
      <c r="E38" s="107">
        <v>100</v>
      </c>
      <c r="F38" s="107">
        <v>0</v>
      </c>
      <c r="G38" s="107">
        <v>9.36</v>
      </c>
      <c r="H38" s="107">
        <v>7.79</v>
      </c>
      <c r="I38" s="107">
        <v>13.33</v>
      </c>
      <c r="J38" s="107">
        <v>8</v>
      </c>
      <c r="K38" s="107">
        <v>27.15</v>
      </c>
      <c r="L38" s="107">
        <v>397</v>
      </c>
      <c r="M38" s="107">
        <v>142</v>
      </c>
      <c r="N38" s="107">
        <v>8</v>
      </c>
      <c r="O38" s="107">
        <v>141.51</v>
      </c>
      <c r="P38" s="107">
        <v>13.36</v>
      </c>
      <c r="Q38" s="1"/>
    </row>
    <row r="39" spans="1:17" x14ac:dyDescent="0.3">
      <c r="A39" s="1">
        <v>38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"/>
    </row>
    <row r="40" spans="1:17" x14ac:dyDescent="0.3">
      <c r="A40" s="1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3" spans="1:17" s="3" customFormat="1" x14ac:dyDescent="0.3">
      <c r="A43" s="6"/>
      <c r="B43" s="6">
        <f>SUMPRODUCT(1/COUNTIF(B2:B38,B2:B38))</f>
        <v>37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</row>
  </sheetData>
  <autoFilter ref="A1:Q38" xr:uid="{F904A783-B562-45E9-B371-6FB14C5548FA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52E9-A1A5-49D0-89B2-3F2CD03FB539}">
  <sheetPr codeName="Sheet4"/>
  <dimension ref="A1:S44"/>
  <sheetViews>
    <sheetView workbookViewId="0">
      <selection activeCell="H41" sqref="H41"/>
    </sheetView>
  </sheetViews>
  <sheetFormatPr defaultRowHeight="14.4" x14ac:dyDescent="0.3"/>
  <cols>
    <col min="1" max="1" width="3.5546875" bestFit="1" customWidth="1"/>
    <col min="3" max="3" width="19.6640625" bestFit="1" customWidth="1"/>
    <col min="7" max="7" width="19.6640625" bestFit="1" customWidth="1"/>
    <col min="8" max="8" width="11.6640625" bestFit="1" customWidth="1"/>
    <col min="9" max="9" width="11.33203125" bestFit="1" customWidth="1"/>
    <col min="10" max="10" width="10.88671875" bestFit="1" customWidth="1"/>
    <col min="11" max="11" width="11.109375" bestFit="1" customWidth="1"/>
    <col min="12" max="12" width="14.33203125" bestFit="1" customWidth="1"/>
    <col min="13" max="13" width="9.6640625" bestFit="1" customWidth="1"/>
    <col min="14" max="14" width="8.6640625" bestFit="1" customWidth="1"/>
    <col min="15" max="15" width="7.5546875" bestFit="1" customWidth="1"/>
    <col min="16" max="16" width="9" bestFit="1" customWidth="1"/>
    <col min="17" max="17" width="11.88671875" bestFit="1" customWidth="1"/>
  </cols>
  <sheetData>
    <row r="1" spans="1:19" x14ac:dyDescent="0.3">
      <c r="B1" t="s">
        <v>27</v>
      </c>
      <c r="C1" t="s">
        <v>31</v>
      </c>
    </row>
    <row r="2" spans="1:19" s="3" customFormat="1" x14ac:dyDescent="0.3">
      <c r="A2" s="2" t="s">
        <v>14</v>
      </c>
      <c r="B2" s="2" t="s">
        <v>0</v>
      </c>
      <c r="C2" s="2" t="s">
        <v>1</v>
      </c>
      <c r="D2" s="2" t="s">
        <v>2</v>
      </c>
      <c r="E2" s="2" t="s">
        <v>21</v>
      </c>
      <c r="F2" s="2" t="s">
        <v>3</v>
      </c>
      <c r="G2" s="2" t="s">
        <v>26</v>
      </c>
      <c r="H2" s="2" t="s">
        <v>22</v>
      </c>
      <c r="I2" s="2" t="s">
        <v>23</v>
      </c>
      <c r="J2" s="2" t="s">
        <v>4</v>
      </c>
      <c r="K2" s="2" t="s">
        <v>5</v>
      </c>
      <c r="L2" s="2" t="s">
        <v>7</v>
      </c>
      <c r="M2" s="2" t="s">
        <v>24</v>
      </c>
      <c r="N2" s="2" t="s">
        <v>6</v>
      </c>
      <c r="O2" s="2" t="s">
        <v>36</v>
      </c>
      <c r="P2" s="2" t="s">
        <v>8</v>
      </c>
      <c r="Q2" s="2" t="s">
        <v>20</v>
      </c>
      <c r="S2"/>
    </row>
    <row r="3" spans="1:19" x14ac:dyDescent="0.3">
      <c r="A3" s="1">
        <v>1</v>
      </c>
      <c r="B3" s="1">
        <v>1</v>
      </c>
      <c r="C3" s="1" t="s">
        <v>137</v>
      </c>
      <c r="D3" s="1">
        <v>73.569999999999993</v>
      </c>
      <c r="E3" s="1">
        <v>83.34</v>
      </c>
      <c r="F3" s="1">
        <v>16.66</v>
      </c>
      <c r="G3" s="1">
        <v>5.63</v>
      </c>
      <c r="H3" s="1">
        <v>5.23</v>
      </c>
      <c r="I3" s="1">
        <v>4.1500000000000004</v>
      </c>
      <c r="J3" s="1">
        <v>3.5</v>
      </c>
      <c r="K3" s="1">
        <v>4.9400000000000004</v>
      </c>
      <c r="L3" s="1">
        <v>96</v>
      </c>
      <c r="M3" s="1">
        <v>52</v>
      </c>
      <c r="N3" s="1">
        <v>5</v>
      </c>
      <c r="O3" s="1">
        <v>156.35</v>
      </c>
      <c r="P3" s="1">
        <v>19.71</v>
      </c>
      <c r="Q3" s="1">
        <f>VALUE(LEFT(C3, FIND(" lbs", C3)-1))</f>
        <v>6.25</v>
      </c>
      <c r="R3" t="str">
        <f>IFERROR(INDEX($Q$3:$Q$38, MATCH(0, COUNTIF($S$3:$S19, $Q$3:$Q$38), 0)), "")</f>
        <v/>
      </c>
    </row>
    <row r="4" spans="1:19" x14ac:dyDescent="0.3">
      <c r="A4" s="1">
        <v>2</v>
      </c>
      <c r="B4" s="1">
        <v>3</v>
      </c>
      <c r="C4" s="1" t="s">
        <v>143</v>
      </c>
      <c r="D4" s="1">
        <v>75.48</v>
      </c>
      <c r="E4" s="1">
        <v>99.43</v>
      </c>
      <c r="F4" s="1">
        <v>0.56999999999999995</v>
      </c>
      <c r="G4" s="1">
        <v>5.98</v>
      </c>
      <c r="H4" s="1">
        <v>5.39</v>
      </c>
      <c r="I4" s="1">
        <v>17.97</v>
      </c>
      <c r="J4" s="1">
        <v>4.7</v>
      </c>
      <c r="K4" s="1">
        <v>7.39</v>
      </c>
      <c r="L4" s="1">
        <v>143</v>
      </c>
      <c r="M4" s="1">
        <v>59</v>
      </c>
      <c r="N4" s="1">
        <v>18</v>
      </c>
      <c r="O4" s="1">
        <v>302.95</v>
      </c>
      <c r="P4" s="1">
        <v>21.98</v>
      </c>
      <c r="Q4" s="1">
        <f t="shared" ref="Q4:Q39" si="0">VALUE(LEFT(C4, FIND(" lbs", C4)-1))</f>
        <v>9.6</v>
      </c>
    </row>
    <row r="5" spans="1:19" x14ac:dyDescent="0.3">
      <c r="A5" s="1">
        <v>3</v>
      </c>
      <c r="B5" s="1">
        <v>4</v>
      </c>
      <c r="C5" s="1" t="s">
        <v>143</v>
      </c>
      <c r="D5" s="1">
        <v>73.73</v>
      </c>
      <c r="E5" s="1">
        <v>83.96</v>
      </c>
      <c r="F5" s="1">
        <v>16.04</v>
      </c>
      <c r="G5" s="1">
        <v>4.01</v>
      </c>
      <c r="H5" s="1">
        <v>3.65</v>
      </c>
      <c r="I5" s="1">
        <v>6.22</v>
      </c>
      <c r="J5" s="1">
        <v>3.5</v>
      </c>
      <c r="K5" s="1">
        <v>4.84</v>
      </c>
      <c r="L5" s="1">
        <v>107</v>
      </c>
      <c r="M5" s="1">
        <v>54</v>
      </c>
      <c r="N5" s="1">
        <v>8</v>
      </c>
      <c r="O5" s="1">
        <v>290.08</v>
      </c>
      <c r="P5" s="1">
        <v>22.15</v>
      </c>
      <c r="Q5" s="1">
        <f t="shared" si="0"/>
        <v>9.6</v>
      </c>
    </row>
    <row r="6" spans="1:19" x14ac:dyDescent="0.3">
      <c r="A6" s="1">
        <v>4</v>
      </c>
      <c r="B6" s="1">
        <v>5</v>
      </c>
      <c r="C6" s="1" t="s">
        <v>135</v>
      </c>
      <c r="D6" s="1">
        <v>55.92</v>
      </c>
      <c r="E6" s="1">
        <v>64.48</v>
      </c>
      <c r="F6" s="1">
        <v>35.520000000000003</v>
      </c>
      <c r="G6" s="1">
        <v>5.09</v>
      </c>
      <c r="H6" s="1">
        <v>4.63</v>
      </c>
      <c r="I6" s="1">
        <v>3.46</v>
      </c>
      <c r="J6" s="1">
        <v>3</v>
      </c>
      <c r="K6" s="1">
        <v>7.28</v>
      </c>
      <c r="L6" s="1">
        <v>129</v>
      </c>
      <c r="M6" s="1">
        <v>77</v>
      </c>
      <c r="N6" s="1">
        <v>5</v>
      </c>
      <c r="O6" s="1">
        <v>261</v>
      </c>
      <c r="P6" s="1">
        <v>20.49</v>
      </c>
      <c r="Q6" s="1">
        <f t="shared" si="0"/>
        <v>13</v>
      </c>
    </row>
    <row r="7" spans="1:19" x14ac:dyDescent="0.3">
      <c r="A7" s="1">
        <v>5</v>
      </c>
      <c r="B7" s="1">
        <v>6</v>
      </c>
      <c r="C7" s="1" t="s">
        <v>10</v>
      </c>
      <c r="D7" s="1">
        <v>66.739999999999995</v>
      </c>
      <c r="E7" s="1">
        <v>85.03</v>
      </c>
      <c r="F7" s="1">
        <v>14.97</v>
      </c>
      <c r="G7" s="1">
        <v>10.61</v>
      </c>
      <c r="H7" s="1">
        <v>9.93</v>
      </c>
      <c r="I7" s="1">
        <v>7.69</v>
      </c>
      <c r="J7" s="1">
        <v>2.6</v>
      </c>
      <c r="K7" s="1">
        <v>8.1999999999999993</v>
      </c>
      <c r="L7" s="1">
        <v>239</v>
      </c>
      <c r="M7" s="1">
        <v>121</v>
      </c>
      <c r="N7" s="1">
        <v>14</v>
      </c>
      <c r="O7" s="1">
        <v>332.08</v>
      </c>
      <c r="P7" s="1">
        <v>25.68</v>
      </c>
      <c r="Q7" s="1">
        <f t="shared" si="0"/>
        <v>10</v>
      </c>
    </row>
    <row r="8" spans="1:19" x14ac:dyDescent="0.3">
      <c r="A8" s="1">
        <v>6</v>
      </c>
      <c r="B8" s="1">
        <v>7</v>
      </c>
      <c r="C8" s="1" t="s">
        <v>135</v>
      </c>
      <c r="D8" s="1">
        <v>73.94</v>
      </c>
      <c r="E8" s="1">
        <v>92.67</v>
      </c>
      <c r="F8" s="1">
        <v>7.33</v>
      </c>
      <c r="G8" s="1">
        <v>8.82</v>
      </c>
      <c r="H8" s="1">
        <v>8.11</v>
      </c>
      <c r="I8" s="1">
        <v>9.9</v>
      </c>
      <c r="J8" s="1">
        <v>3.3</v>
      </c>
      <c r="K8" s="1">
        <v>7.29</v>
      </c>
      <c r="L8" s="1">
        <v>215</v>
      </c>
      <c r="M8" s="1">
        <v>101</v>
      </c>
      <c r="N8" s="1">
        <v>14</v>
      </c>
      <c r="O8" s="1">
        <v>458.23</v>
      </c>
      <c r="P8" s="1">
        <v>25.11</v>
      </c>
      <c r="Q8" s="1">
        <f t="shared" si="0"/>
        <v>13</v>
      </c>
    </row>
    <row r="9" spans="1:19" x14ac:dyDescent="0.3">
      <c r="A9" s="1">
        <v>7</v>
      </c>
      <c r="B9" s="1">
        <v>8</v>
      </c>
      <c r="C9" s="1" t="s">
        <v>135</v>
      </c>
      <c r="D9" s="1">
        <v>74.400000000000006</v>
      </c>
      <c r="E9" s="1">
        <v>86.55</v>
      </c>
      <c r="F9" s="1">
        <v>13.45</v>
      </c>
      <c r="G9" s="1">
        <v>3.5</v>
      </c>
      <c r="H9" s="1">
        <v>2.91</v>
      </c>
      <c r="I9" s="1">
        <v>8.64</v>
      </c>
      <c r="J9" s="1">
        <v>3.2</v>
      </c>
      <c r="K9" s="1">
        <v>9</v>
      </c>
      <c r="L9" s="1">
        <v>150</v>
      </c>
      <c r="M9" s="1">
        <v>56</v>
      </c>
      <c r="N9" s="1">
        <v>13</v>
      </c>
      <c r="O9" s="1">
        <v>465</v>
      </c>
      <c r="P9" s="1">
        <v>25.7</v>
      </c>
      <c r="Q9" s="1">
        <f>VALUE(LEFT(C9, FIND(" lbs", C9)-1))</f>
        <v>13</v>
      </c>
    </row>
    <row r="10" spans="1:19" x14ac:dyDescent="0.3">
      <c r="A10" s="1">
        <v>8</v>
      </c>
      <c r="B10" s="1">
        <v>9</v>
      </c>
      <c r="C10" s="1" t="s">
        <v>9</v>
      </c>
      <c r="D10" s="1">
        <v>77.39</v>
      </c>
      <c r="E10" s="1">
        <v>96.77</v>
      </c>
      <c r="F10" s="1">
        <v>3.23</v>
      </c>
      <c r="G10" s="1">
        <v>15.92</v>
      </c>
      <c r="H10" s="1">
        <v>14.8</v>
      </c>
      <c r="I10" s="1">
        <v>3.46</v>
      </c>
      <c r="J10" s="1">
        <v>4.0999999999999996</v>
      </c>
      <c r="K10" s="1">
        <v>21.14</v>
      </c>
      <c r="L10" s="1">
        <v>313</v>
      </c>
      <c r="M10" s="1">
        <v>100</v>
      </c>
      <c r="N10" s="1">
        <v>4</v>
      </c>
      <c r="O10" s="1">
        <v>182.4</v>
      </c>
      <c r="P10" s="1">
        <v>15.18</v>
      </c>
      <c r="Q10" s="1">
        <f t="shared" si="0"/>
        <v>8</v>
      </c>
    </row>
    <row r="11" spans="1:19" x14ac:dyDescent="0.3">
      <c r="A11" s="1">
        <v>9</v>
      </c>
      <c r="B11" s="1">
        <v>10</v>
      </c>
      <c r="C11" s="1" t="s">
        <v>135</v>
      </c>
      <c r="D11" s="1">
        <v>69.62</v>
      </c>
      <c r="E11" s="1">
        <v>86.08</v>
      </c>
      <c r="F11" s="1">
        <v>13.92</v>
      </c>
      <c r="G11" s="1">
        <v>9.8800000000000008</v>
      </c>
      <c r="H11" s="1">
        <v>9.65</v>
      </c>
      <c r="I11" s="1">
        <v>6.58</v>
      </c>
      <c r="J11" s="1">
        <v>2.4</v>
      </c>
      <c r="K11" s="1">
        <v>3.83</v>
      </c>
      <c r="L11" s="1">
        <v>173</v>
      </c>
      <c r="M11" s="1">
        <v>110</v>
      </c>
      <c r="N11" s="1">
        <v>13</v>
      </c>
      <c r="O11" s="1">
        <v>382.52</v>
      </c>
      <c r="P11" s="1">
        <v>21.7</v>
      </c>
      <c r="Q11" s="1">
        <f t="shared" si="0"/>
        <v>13</v>
      </c>
    </row>
    <row r="12" spans="1:19" x14ac:dyDescent="0.3">
      <c r="A12" s="1">
        <v>10</v>
      </c>
      <c r="B12" s="1">
        <v>11</v>
      </c>
      <c r="C12" s="1" t="s">
        <v>135</v>
      </c>
      <c r="D12" s="1">
        <v>73.25</v>
      </c>
      <c r="E12" s="1">
        <v>92.17</v>
      </c>
      <c r="F12" s="1">
        <v>7.83</v>
      </c>
      <c r="G12" s="1">
        <v>10.02</v>
      </c>
      <c r="H12" s="1">
        <v>9.5299999999999994</v>
      </c>
      <c r="I12" s="1">
        <v>8.9</v>
      </c>
      <c r="J12" s="1">
        <v>3</v>
      </c>
      <c r="K12" s="1">
        <v>6.54</v>
      </c>
      <c r="L12" s="1">
        <v>206</v>
      </c>
      <c r="M12" s="1">
        <v>113</v>
      </c>
      <c r="N12" s="1">
        <v>14</v>
      </c>
      <c r="O12" s="1">
        <v>415.74</v>
      </c>
      <c r="P12" s="1">
        <v>22.34</v>
      </c>
      <c r="Q12" s="1">
        <f t="shared" si="0"/>
        <v>13</v>
      </c>
    </row>
    <row r="13" spans="1:19" x14ac:dyDescent="0.3">
      <c r="A13" s="1">
        <v>11</v>
      </c>
      <c r="B13" s="1">
        <v>13</v>
      </c>
      <c r="C13" s="1" t="s">
        <v>135</v>
      </c>
      <c r="D13" s="1">
        <v>42.06</v>
      </c>
      <c r="E13" s="1">
        <v>85.36</v>
      </c>
      <c r="F13" s="1">
        <v>14.64</v>
      </c>
      <c r="G13" s="1">
        <v>26.9</v>
      </c>
      <c r="H13" s="1">
        <v>26.61</v>
      </c>
      <c r="I13" s="1">
        <v>16.39</v>
      </c>
      <c r="J13" s="1">
        <v>5.8</v>
      </c>
      <c r="K13" s="1">
        <v>2.36</v>
      </c>
      <c r="L13" s="1">
        <v>190</v>
      </c>
      <c r="M13" s="1">
        <v>150</v>
      </c>
      <c r="N13" s="1">
        <v>13</v>
      </c>
      <c r="O13" s="1">
        <v>259.73</v>
      </c>
      <c r="P13" s="1">
        <v>25.16</v>
      </c>
      <c r="Q13" s="1">
        <f t="shared" si="0"/>
        <v>13</v>
      </c>
    </row>
    <row r="14" spans="1:19" x14ac:dyDescent="0.3">
      <c r="A14" s="1">
        <v>12</v>
      </c>
      <c r="B14" s="1">
        <v>15</v>
      </c>
      <c r="C14" s="1" t="s">
        <v>40</v>
      </c>
      <c r="D14" s="1">
        <v>61.85</v>
      </c>
      <c r="E14" s="1">
        <v>76.72</v>
      </c>
      <c r="F14" s="1">
        <v>23.28</v>
      </c>
      <c r="G14" s="1">
        <v>6.84</v>
      </c>
      <c r="H14" s="1">
        <v>6.36</v>
      </c>
      <c r="I14" s="1">
        <v>8.02</v>
      </c>
      <c r="J14" s="1">
        <v>3.5</v>
      </c>
      <c r="K14" s="1">
        <v>7.3</v>
      </c>
      <c r="L14" s="1">
        <v>156</v>
      </c>
      <c r="M14" s="1">
        <v>89</v>
      </c>
      <c r="N14" s="1">
        <v>11</v>
      </c>
      <c r="O14" s="1">
        <v>373.28</v>
      </c>
      <c r="P14" s="1">
        <v>22.01</v>
      </c>
      <c r="Q14" s="1">
        <f t="shared" si="0"/>
        <v>14</v>
      </c>
    </row>
    <row r="15" spans="1:19" x14ac:dyDescent="0.3">
      <c r="A15" s="1">
        <v>13</v>
      </c>
      <c r="B15" s="1">
        <v>16</v>
      </c>
      <c r="C15" s="1" t="s">
        <v>40</v>
      </c>
      <c r="D15" s="1">
        <v>63.05</v>
      </c>
      <c r="E15" s="1">
        <v>100</v>
      </c>
      <c r="F15" s="1">
        <v>0</v>
      </c>
      <c r="G15" s="1">
        <v>5.48</v>
      </c>
      <c r="H15" s="1">
        <v>4.6500000000000004</v>
      </c>
      <c r="I15" s="1">
        <v>31.47</v>
      </c>
      <c r="J15" s="1">
        <v>6</v>
      </c>
      <c r="K15" s="1">
        <v>12.81</v>
      </c>
      <c r="L15" s="1">
        <v>190</v>
      </c>
      <c r="M15" s="1">
        <v>68</v>
      </c>
      <c r="N15" s="1">
        <v>25</v>
      </c>
      <c r="O15" s="1">
        <v>417.5</v>
      </c>
      <c r="P15" s="1">
        <v>24.23</v>
      </c>
      <c r="Q15" s="1">
        <f t="shared" si="0"/>
        <v>14</v>
      </c>
    </row>
    <row r="16" spans="1:19" x14ac:dyDescent="0.3">
      <c r="A16" s="1">
        <v>14</v>
      </c>
      <c r="B16" s="1">
        <v>17</v>
      </c>
      <c r="C16" s="1" t="s">
        <v>10</v>
      </c>
      <c r="D16" s="1">
        <v>58.12</v>
      </c>
      <c r="E16" s="1">
        <v>90.4</v>
      </c>
      <c r="F16" s="1">
        <v>9.6</v>
      </c>
      <c r="G16" s="1">
        <v>2.69</v>
      </c>
      <c r="H16" s="1">
        <v>2.29</v>
      </c>
      <c r="I16" s="1">
        <v>29.6</v>
      </c>
      <c r="J16" s="1">
        <v>23.6</v>
      </c>
      <c r="K16" s="1">
        <v>10.66</v>
      </c>
      <c r="L16" s="1">
        <v>120</v>
      </c>
      <c r="M16" s="1">
        <v>43</v>
      </c>
      <c r="N16" s="1">
        <v>6</v>
      </c>
      <c r="O16" s="1">
        <v>241.41</v>
      </c>
      <c r="P16" s="1">
        <v>21.24</v>
      </c>
      <c r="Q16" s="1">
        <f t="shared" si="0"/>
        <v>10</v>
      </c>
    </row>
    <row r="17" spans="1:17" x14ac:dyDescent="0.3">
      <c r="A17" s="1">
        <v>15</v>
      </c>
      <c r="B17" s="1">
        <v>18</v>
      </c>
      <c r="C17" s="1" t="s">
        <v>9</v>
      </c>
      <c r="D17" s="1">
        <v>66.86</v>
      </c>
      <c r="E17" s="1">
        <v>75.040000000000006</v>
      </c>
      <c r="F17" s="1">
        <v>24.96</v>
      </c>
      <c r="G17" s="1">
        <v>8.18</v>
      </c>
      <c r="H17" s="1">
        <v>7.79</v>
      </c>
      <c r="I17" s="1">
        <v>0</v>
      </c>
      <c r="J17" s="1">
        <v>0</v>
      </c>
      <c r="K17" s="1">
        <v>9.31</v>
      </c>
      <c r="L17" s="1">
        <v>127</v>
      </c>
      <c r="M17" s="1">
        <v>65</v>
      </c>
      <c r="N17" s="1">
        <v>0</v>
      </c>
      <c r="O17" s="1">
        <v>197.21</v>
      </c>
      <c r="P17" s="1">
        <v>20.309999999999999</v>
      </c>
      <c r="Q17" s="1">
        <f t="shared" si="0"/>
        <v>8</v>
      </c>
    </row>
    <row r="18" spans="1:17" x14ac:dyDescent="0.3">
      <c r="A18" s="1">
        <v>16</v>
      </c>
      <c r="B18" s="1">
        <v>19</v>
      </c>
      <c r="C18" s="1" t="s">
        <v>9</v>
      </c>
      <c r="D18" s="1">
        <v>82.74</v>
      </c>
      <c r="E18" s="1">
        <v>98.26</v>
      </c>
      <c r="F18" s="1">
        <v>1.74</v>
      </c>
      <c r="G18" s="1">
        <v>7.3</v>
      </c>
      <c r="H18" s="1">
        <v>6.71</v>
      </c>
      <c r="I18" s="1">
        <v>8.2200000000000006</v>
      </c>
      <c r="J18" s="1">
        <v>4.8</v>
      </c>
      <c r="K18" s="1">
        <v>9.4600000000000009</v>
      </c>
      <c r="L18" s="1">
        <v>240</v>
      </c>
      <c r="M18" s="1">
        <v>134</v>
      </c>
      <c r="N18" s="1">
        <v>8</v>
      </c>
      <c r="O18" s="1">
        <v>260.5</v>
      </c>
      <c r="P18" s="1">
        <v>20.46</v>
      </c>
      <c r="Q18" s="1">
        <f t="shared" si="0"/>
        <v>8</v>
      </c>
    </row>
    <row r="19" spans="1:17" x14ac:dyDescent="0.3">
      <c r="A19" s="1">
        <v>17</v>
      </c>
      <c r="B19" s="1">
        <v>20</v>
      </c>
      <c r="C19" s="1" t="s">
        <v>9</v>
      </c>
      <c r="D19" s="1">
        <v>70.58</v>
      </c>
      <c r="E19" s="1">
        <v>83.58</v>
      </c>
      <c r="F19" s="1">
        <v>16.420000000000002</v>
      </c>
      <c r="G19" s="1">
        <v>4.04</v>
      </c>
      <c r="H19" s="1">
        <v>3.43</v>
      </c>
      <c r="I19" s="1">
        <v>8.9600000000000009</v>
      </c>
      <c r="J19" s="1">
        <v>6.1</v>
      </c>
      <c r="K19" s="1">
        <v>9.52</v>
      </c>
      <c r="L19" s="1">
        <v>153</v>
      </c>
      <c r="M19" s="1">
        <v>64</v>
      </c>
      <c r="N19" s="1">
        <v>7</v>
      </c>
      <c r="O19" s="1">
        <v>221.87</v>
      </c>
      <c r="P19" s="1">
        <v>20.059999999999999</v>
      </c>
      <c r="Q19" s="1">
        <f t="shared" si="0"/>
        <v>8</v>
      </c>
    </row>
    <row r="20" spans="1:17" x14ac:dyDescent="0.3">
      <c r="A20" s="1">
        <v>18</v>
      </c>
      <c r="B20" s="1">
        <v>21</v>
      </c>
      <c r="C20" s="1" t="s">
        <v>9</v>
      </c>
      <c r="D20" s="1">
        <v>81.040000000000006</v>
      </c>
      <c r="E20" s="1">
        <v>97.72</v>
      </c>
      <c r="F20" s="1">
        <v>2.2799999999999998</v>
      </c>
      <c r="G20" s="1">
        <v>4.7</v>
      </c>
      <c r="H20" s="1">
        <v>4.37</v>
      </c>
      <c r="I20" s="1">
        <v>11.98</v>
      </c>
      <c r="J20" s="1">
        <v>7.2</v>
      </c>
      <c r="K20" s="1">
        <v>3.9</v>
      </c>
      <c r="L20" s="1">
        <v>95</v>
      </c>
      <c r="M20" s="1">
        <v>50</v>
      </c>
      <c r="N20" s="1">
        <v>8</v>
      </c>
      <c r="O20" s="1">
        <v>251.23</v>
      </c>
      <c r="P20" s="1">
        <v>20.36</v>
      </c>
      <c r="Q20" s="1">
        <f t="shared" si="0"/>
        <v>8</v>
      </c>
    </row>
    <row r="21" spans="1:17" x14ac:dyDescent="0.3">
      <c r="A21" s="1">
        <v>19</v>
      </c>
      <c r="B21" s="1">
        <v>22</v>
      </c>
      <c r="C21" s="1" t="s">
        <v>9</v>
      </c>
      <c r="D21" s="1">
        <v>79.17</v>
      </c>
      <c r="E21" s="1">
        <v>92.79</v>
      </c>
      <c r="F21" s="1">
        <v>7.21</v>
      </c>
      <c r="G21" s="1">
        <v>7.87</v>
      </c>
      <c r="H21" s="1">
        <v>7.49</v>
      </c>
      <c r="I21" s="1">
        <v>5.75</v>
      </c>
      <c r="J21" s="1">
        <v>3.9</v>
      </c>
      <c r="K21" s="1">
        <v>4.63</v>
      </c>
      <c r="L21" s="1">
        <v>147</v>
      </c>
      <c r="M21" s="1">
        <v>94</v>
      </c>
      <c r="N21" s="1">
        <v>7</v>
      </c>
      <c r="O21" s="1">
        <v>248.23</v>
      </c>
      <c r="P21" s="1">
        <v>20.329999999999998</v>
      </c>
      <c r="Q21" s="1">
        <f t="shared" si="0"/>
        <v>8</v>
      </c>
    </row>
    <row r="22" spans="1:17" x14ac:dyDescent="0.3">
      <c r="A22" s="1">
        <v>20</v>
      </c>
      <c r="B22" s="1">
        <v>23</v>
      </c>
      <c r="C22" s="1" t="s">
        <v>9</v>
      </c>
      <c r="D22" s="1">
        <v>77.31</v>
      </c>
      <c r="E22" s="1">
        <v>94.57</v>
      </c>
      <c r="F22" s="1">
        <v>5.43</v>
      </c>
      <c r="G22" s="1">
        <v>6.98</v>
      </c>
      <c r="H22" s="1">
        <v>6.41</v>
      </c>
      <c r="I22" s="1">
        <v>10.27</v>
      </c>
      <c r="J22" s="1">
        <v>7</v>
      </c>
      <c r="K22" s="1">
        <v>7.75</v>
      </c>
      <c r="L22" s="1">
        <v>159</v>
      </c>
      <c r="M22" s="1">
        <v>72</v>
      </c>
      <c r="N22" s="1">
        <v>7</v>
      </c>
      <c r="O22" s="1">
        <v>245.72</v>
      </c>
      <c r="P22" s="1">
        <v>20.440000000000001</v>
      </c>
      <c r="Q22" s="1">
        <f t="shared" si="0"/>
        <v>8</v>
      </c>
    </row>
    <row r="23" spans="1:17" x14ac:dyDescent="0.3">
      <c r="A23" s="1">
        <v>21</v>
      </c>
      <c r="B23" s="1">
        <v>24</v>
      </c>
      <c r="C23" s="1" t="s">
        <v>9</v>
      </c>
      <c r="D23" s="1">
        <v>69.760000000000005</v>
      </c>
      <c r="E23" s="1">
        <v>87.52</v>
      </c>
      <c r="F23" s="1">
        <v>12.48</v>
      </c>
      <c r="G23" s="1">
        <v>6.98</v>
      </c>
      <c r="H23" s="1">
        <v>6.45</v>
      </c>
      <c r="I23" s="1">
        <v>10.78</v>
      </c>
      <c r="J23" s="1">
        <v>8.4</v>
      </c>
      <c r="K23" s="1">
        <v>7.27</v>
      </c>
      <c r="L23" s="1">
        <v>131</v>
      </c>
      <c r="M23" s="1">
        <v>59</v>
      </c>
      <c r="N23" s="1">
        <v>6</v>
      </c>
      <c r="O23" s="1">
        <v>111.25</v>
      </c>
      <c r="P23" s="1">
        <v>10.45</v>
      </c>
      <c r="Q23" s="1">
        <f t="shared" si="0"/>
        <v>8</v>
      </c>
    </row>
    <row r="24" spans="1:17" x14ac:dyDescent="0.3">
      <c r="A24" s="1">
        <v>22</v>
      </c>
      <c r="B24" s="1">
        <v>25</v>
      </c>
      <c r="C24" s="1" t="s">
        <v>9</v>
      </c>
      <c r="D24" s="1">
        <v>81.94</v>
      </c>
      <c r="E24" s="1">
        <v>97.7</v>
      </c>
      <c r="F24" s="1">
        <v>2.2999999999999998</v>
      </c>
      <c r="G24" s="1">
        <v>10.199999999999999</v>
      </c>
      <c r="H24" s="1">
        <v>8.41</v>
      </c>
      <c r="I24" s="1">
        <v>5.56</v>
      </c>
      <c r="J24" s="1">
        <v>3.7</v>
      </c>
      <c r="K24" s="1">
        <v>13.65</v>
      </c>
      <c r="L24" s="1">
        <v>360</v>
      </c>
      <c r="M24" s="1">
        <v>129</v>
      </c>
      <c r="N24" s="1">
        <v>7</v>
      </c>
      <c r="O24" s="1">
        <v>238.41</v>
      </c>
      <c r="P24" s="1">
        <v>18.940000000000001</v>
      </c>
      <c r="Q24" s="1">
        <f t="shared" si="0"/>
        <v>8</v>
      </c>
    </row>
    <row r="25" spans="1:17" x14ac:dyDescent="0.3">
      <c r="A25" s="1">
        <v>23</v>
      </c>
      <c r="B25" s="1">
        <v>27</v>
      </c>
      <c r="C25" s="1" t="s">
        <v>9</v>
      </c>
      <c r="D25" s="1">
        <v>69.22</v>
      </c>
      <c r="E25" s="1">
        <v>91.35</v>
      </c>
      <c r="F25" s="1">
        <v>8.65</v>
      </c>
      <c r="G25" s="1">
        <v>8.0500000000000007</v>
      </c>
      <c r="H25" s="1">
        <v>6.84</v>
      </c>
      <c r="I25" s="1">
        <v>14.08</v>
      </c>
      <c r="J25" s="1">
        <v>9.6</v>
      </c>
      <c r="K25" s="1">
        <v>18.670000000000002</v>
      </c>
      <c r="L25" s="1">
        <v>289</v>
      </c>
      <c r="M25" s="1">
        <v>92</v>
      </c>
      <c r="N25" s="1">
        <v>7</v>
      </c>
      <c r="O25" s="1">
        <v>200.41</v>
      </c>
      <c r="P25" s="1">
        <v>18.48</v>
      </c>
      <c r="Q25" s="1">
        <f t="shared" si="0"/>
        <v>8</v>
      </c>
    </row>
    <row r="26" spans="1:17" x14ac:dyDescent="0.3">
      <c r="A26" s="1">
        <v>24</v>
      </c>
      <c r="B26" s="1">
        <v>30</v>
      </c>
      <c r="C26" s="1" t="s">
        <v>9</v>
      </c>
      <c r="D26" s="1">
        <v>70.67</v>
      </c>
      <c r="E26" s="1">
        <v>89.88</v>
      </c>
      <c r="F26" s="1">
        <v>10.119999999999999</v>
      </c>
      <c r="G26" s="1">
        <v>12.88</v>
      </c>
      <c r="H26" s="1">
        <v>12.21</v>
      </c>
      <c r="I26" s="1">
        <v>6.33</v>
      </c>
      <c r="J26" s="1">
        <v>5.0999999999999996</v>
      </c>
      <c r="K26" s="1">
        <v>12.26</v>
      </c>
      <c r="L26" s="1">
        <v>224</v>
      </c>
      <c r="M26" s="1">
        <v>103</v>
      </c>
      <c r="N26" s="1">
        <v>6</v>
      </c>
      <c r="O26" s="1">
        <v>206.23</v>
      </c>
      <c r="P26" s="1">
        <v>18.649999999999999</v>
      </c>
      <c r="Q26" s="1">
        <f t="shared" si="0"/>
        <v>8</v>
      </c>
    </row>
    <row r="27" spans="1:17" x14ac:dyDescent="0.3">
      <c r="A27" s="1">
        <v>25</v>
      </c>
      <c r="B27" s="1">
        <v>31</v>
      </c>
      <c r="C27" s="1" t="s">
        <v>40</v>
      </c>
      <c r="D27" s="1">
        <v>60.6</v>
      </c>
      <c r="E27" s="1">
        <v>73.48</v>
      </c>
      <c r="F27" s="1">
        <v>26.52</v>
      </c>
      <c r="G27" s="1">
        <v>9.6300000000000008</v>
      </c>
      <c r="H27" s="1">
        <v>9.02</v>
      </c>
      <c r="I27" s="1">
        <v>3.25</v>
      </c>
      <c r="J27" s="1">
        <v>3.9</v>
      </c>
      <c r="K27" s="1">
        <v>12.66</v>
      </c>
      <c r="L27" s="1">
        <v>170</v>
      </c>
      <c r="M27" s="1">
        <v>77</v>
      </c>
      <c r="N27" s="1">
        <v>4</v>
      </c>
      <c r="O27" s="1">
        <v>404.19</v>
      </c>
      <c r="P27" s="1">
        <v>24.34</v>
      </c>
      <c r="Q27" s="1">
        <f t="shared" si="0"/>
        <v>14</v>
      </c>
    </row>
    <row r="28" spans="1:17" x14ac:dyDescent="0.3">
      <c r="A28" s="1">
        <v>26</v>
      </c>
      <c r="B28" s="1">
        <v>32</v>
      </c>
      <c r="C28" s="1" t="s">
        <v>40</v>
      </c>
      <c r="D28" s="1">
        <v>67.98</v>
      </c>
      <c r="E28" s="1">
        <v>89.03</v>
      </c>
      <c r="F28" s="1">
        <v>10.97</v>
      </c>
      <c r="G28" s="1">
        <v>12.79</v>
      </c>
      <c r="H28" s="1">
        <v>11.99</v>
      </c>
      <c r="I28" s="1">
        <v>8.26</v>
      </c>
      <c r="J28" s="1">
        <v>2.8</v>
      </c>
      <c r="K28" s="1">
        <v>13.51</v>
      </c>
      <c r="L28" s="1">
        <v>233</v>
      </c>
      <c r="M28" s="1">
        <v>80</v>
      </c>
      <c r="N28" s="1">
        <v>14</v>
      </c>
      <c r="O28" s="1">
        <v>454.01</v>
      </c>
      <c r="P28" s="1">
        <v>24.45</v>
      </c>
      <c r="Q28" s="1">
        <f t="shared" si="0"/>
        <v>14</v>
      </c>
    </row>
    <row r="29" spans="1:17" x14ac:dyDescent="0.3">
      <c r="A29" s="1">
        <v>27</v>
      </c>
      <c r="B29" s="1">
        <v>33</v>
      </c>
      <c r="C29" s="1" t="s">
        <v>39</v>
      </c>
      <c r="D29" s="1">
        <v>44.06</v>
      </c>
      <c r="E29" s="1">
        <v>90.75</v>
      </c>
      <c r="F29" s="1">
        <v>9.25</v>
      </c>
      <c r="G29" s="1">
        <v>6.76</v>
      </c>
      <c r="H29" s="1">
        <v>6.53</v>
      </c>
      <c r="I29" s="1">
        <v>39.93</v>
      </c>
      <c r="J29" s="1">
        <v>38.200000000000003</v>
      </c>
      <c r="K29" s="1">
        <v>2.88</v>
      </c>
      <c r="L29" s="1">
        <v>93</v>
      </c>
      <c r="M29" s="1">
        <v>63</v>
      </c>
      <c r="N29" s="1">
        <v>5</v>
      </c>
      <c r="O29" s="1">
        <v>150.56</v>
      </c>
      <c r="P29" s="1">
        <v>19.36</v>
      </c>
      <c r="Q29" s="1">
        <f t="shared" si="0"/>
        <v>9</v>
      </c>
    </row>
    <row r="30" spans="1:17" x14ac:dyDescent="0.3">
      <c r="A30" s="1">
        <v>28</v>
      </c>
      <c r="B30" s="1">
        <v>34</v>
      </c>
      <c r="C30" s="1" t="s">
        <v>12</v>
      </c>
      <c r="D30" s="1">
        <v>58.83</v>
      </c>
      <c r="E30" s="1">
        <v>78.39</v>
      </c>
      <c r="F30" s="1">
        <v>21.61</v>
      </c>
      <c r="G30" s="1">
        <v>9.1999999999999993</v>
      </c>
      <c r="H30" s="1">
        <v>8.77</v>
      </c>
      <c r="I30" s="1">
        <v>10.36</v>
      </c>
      <c r="J30" s="1">
        <v>8.1999999999999993</v>
      </c>
      <c r="K30" s="1">
        <v>4.3600000000000003</v>
      </c>
      <c r="L30" s="1">
        <v>99</v>
      </c>
      <c r="M30" s="1">
        <v>55</v>
      </c>
      <c r="N30" s="1">
        <v>6</v>
      </c>
      <c r="O30" s="1">
        <v>164.07</v>
      </c>
      <c r="P30" s="1">
        <v>18.73</v>
      </c>
      <c r="Q30" s="1">
        <f t="shared" si="0"/>
        <v>7</v>
      </c>
    </row>
    <row r="31" spans="1:17" x14ac:dyDescent="0.3">
      <c r="A31" s="1">
        <v>29</v>
      </c>
      <c r="B31" s="1">
        <v>35</v>
      </c>
      <c r="C31" s="1" t="s">
        <v>11</v>
      </c>
      <c r="D31" s="1">
        <v>59.89</v>
      </c>
      <c r="E31" s="1">
        <v>75.72</v>
      </c>
      <c r="F31" s="1">
        <v>24.28</v>
      </c>
      <c r="G31" s="1">
        <v>8.2200000000000006</v>
      </c>
      <c r="H31" s="1">
        <v>7.59</v>
      </c>
      <c r="I31" s="1">
        <v>17.600000000000001</v>
      </c>
      <c r="J31" s="1">
        <v>11.8</v>
      </c>
      <c r="K31" s="1">
        <v>9.2100000000000009</v>
      </c>
      <c r="L31" s="1">
        <v>163</v>
      </c>
      <c r="M31" s="1">
        <v>95</v>
      </c>
      <c r="N31" s="1">
        <v>6</v>
      </c>
      <c r="O31" s="1">
        <v>122.54</v>
      </c>
      <c r="P31" s="1">
        <v>19.39</v>
      </c>
      <c r="Q31" s="1">
        <f t="shared" si="0"/>
        <v>7.7</v>
      </c>
    </row>
    <row r="32" spans="1:17" x14ac:dyDescent="0.3">
      <c r="A32" s="1">
        <v>30</v>
      </c>
      <c r="B32" s="1">
        <v>36</v>
      </c>
      <c r="C32" s="1" t="s">
        <v>12</v>
      </c>
      <c r="D32" s="1">
        <v>60.93</v>
      </c>
      <c r="E32" s="1">
        <v>99.34</v>
      </c>
      <c r="F32" s="1">
        <v>0.66</v>
      </c>
      <c r="G32" s="1">
        <v>11.87</v>
      </c>
      <c r="H32" s="1">
        <v>11.11</v>
      </c>
      <c r="I32" s="1">
        <v>26.54</v>
      </c>
      <c r="J32" s="1">
        <v>9.6999999999999993</v>
      </c>
      <c r="K32" s="1">
        <v>8.35</v>
      </c>
      <c r="L32" s="1">
        <v>206</v>
      </c>
      <c r="M32" s="1">
        <v>105</v>
      </c>
      <c r="N32" s="1">
        <v>13</v>
      </c>
      <c r="O32" s="1">
        <v>176.48</v>
      </c>
      <c r="P32" s="1">
        <v>19.260000000000002</v>
      </c>
      <c r="Q32" s="1">
        <f t="shared" si="0"/>
        <v>7</v>
      </c>
    </row>
    <row r="33" spans="1:17" x14ac:dyDescent="0.3">
      <c r="A33" s="1">
        <v>31</v>
      </c>
      <c r="B33" s="1">
        <v>37</v>
      </c>
      <c r="C33" s="1" t="s">
        <v>11</v>
      </c>
      <c r="D33" s="1">
        <v>76.16</v>
      </c>
      <c r="E33" s="1">
        <v>91.22</v>
      </c>
      <c r="F33" s="1">
        <v>8.7799999999999994</v>
      </c>
      <c r="G33" s="1">
        <v>7.16</v>
      </c>
      <c r="H33" s="1">
        <v>6.69</v>
      </c>
      <c r="I33" s="1">
        <v>7.9</v>
      </c>
      <c r="J33" s="1">
        <v>2.8</v>
      </c>
      <c r="K33" s="1">
        <v>5.32</v>
      </c>
      <c r="L33" s="1">
        <v>104</v>
      </c>
      <c r="M33" s="1">
        <v>53</v>
      </c>
      <c r="N33" s="1">
        <v>11</v>
      </c>
      <c r="O33" s="1">
        <v>143.22</v>
      </c>
      <c r="P33" s="1">
        <v>15.1</v>
      </c>
      <c r="Q33" s="1">
        <f t="shared" si="0"/>
        <v>7.7</v>
      </c>
    </row>
    <row r="34" spans="1:17" x14ac:dyDescent="0.3">
      <c r="A34" s="1">
        <v>32</v>
      </c>
      <c r="B34" s="1">
        <v>38</v>
      </c>
      <c r="C34" s="1" t="s">
        <v>13</v>
      </c>
      <c r="D34" s="1">
        <v>76.819999999999993</v>
      </c>
      <c r="E34" s="1">
        <v>100</v>
      </c>
      <c r="F34" s="1">
        <v>0</v>
      </c>
      <c r="G34" s="1">
        <v>13.84</v>
      </c>
      <c r="H34" s="1">
        <v>11.43</v>
      </c>
      <c r="I34" s="1">
        <v>9.34</v>
      </c>
      <c r="J34" s="1">
        <v>3.1</v>
      </c>
      <c r="K34" s="1">
        <v>28.35</v>
      </c>
      <c r="L34" s="1">
        <v>433</v>
      </c>
      <c r="M34" s="1">
        <v>140</v>
      </c>
      <c r="N34" s="1">
        <v>14</v>
      </c>
      <c r="O34" s="1">
        <v>185.38</v>
      </c>
      <c r="P34" s="1">
        <v>15.37</v>
      </c>
      <c r="Q34" s="1">
        <f t="shared" si="0"/>
        <v>8.25</v>
      </c>
    </row>
    <row r="35" spans="1:17" x14ac:dyDescent="0.3">
      <c r="A35" s="1">
        <v>33</v>
      </c>
      <c r="B35" s="1">
        <v>39</v>
      </c>
      <c r="C35" s="1" t="s">
        <v>136</v>
      </c>
      <c r="D35" s="1">
        <v>67.290000000000006</v>
      </c>
      <c r="E35" s="1">
        <v>92.1</v>
      </c>
      <c r="F35" s="1">
        <v>7.9</v>
      </c>
      <c r="G35" s="1">
        <v>7.97</v>
      </c>
      <c r="H35" s="1">
        <v>7.29</v>
      </c>
      <c r="I35" s="1">
        <v>16.84</v>
      </c>
      <c r="J35" s="1">
        <v>13.3</v>
      </c>
      <c r="K35" s="1">
        <v>10.23</v>
      </c>
      <c r="L35" s="1">
        <v>150</v>
      </c>
      <c r="M35" s="1">
        <v>63</v>
      </c>
      <c r="N35" s="1">
        <v>6</v>
      </c>
      <c r="O35" s="1">
        <v>148.07</v>
      </c>
      <c r="P35" s="1">
        <v>16.2</v>
      </c>
      <c r="Q35" s="1">
        <f t="shared" si="0"/>
        <v>7</v>
      </c>
    </row>
    <row r="36" spans="1:17" x14ac:dyDescent="0.3">
      <c r="A36" s="1">
        <v>34</v>
      </c>
      <c r="B36" s="1">
        <v>40</v>
      </c>
      <c r="C36" s="1" t="s">
        <v>136</v>
      </c>
      <c r="D36" s="1">
        <v>70.48</v>
      </c>
      <c r="E36" s="1">
        <v>80.62</v>
      </c>
      <c r="F36" s="1">
        <v>19.38</v>
      </c>
      <c r="G36" s="1">
        <v>10.14</v>
      </c>
      <c r="H36" s="1">
        <v>8.5399999999999991</v>
      </c>
      <c r="I36" s="1">
        <v>0</v>
      </c>
      <c r="J36" s="1">
        <v>0</v>
      </c>
      <c r="K36" s="1">
        <v>36.07</v>
      </c>
      <c r="L36" s="1">
        <v>395</v>
      </c>
      <c r="M36" s="1">
        <v>119</v>
      </c>
      <c r="N36" s="1">
        <v>5</v>
      </c>
      <c r="O36" s="1">
        <v>137.52000000000001</v>
      </c>
      <c r="P36" s="1">
        <v>14.35</v>
      </c>
      <c r="Q36" s="1">
        <f t="shared" si="0"/>
        <v>7</v>
      </c>
    </row>
    <row r="37" spans="1:17" x14ac:dyDescent="0.3">
      <c r="A37" s="1">
        <v>35</v>
      </c>
      <c r="B37" s="1">
        <v>41</v>
      </c>
      <c r="C37" s="1" t="s">
        <v>152</v>
      </c>
      <c r="D37" s="1">
        <v>82.66</v>
      </c>
      <c r="E37" s="1">
        <v>91.34</v>
      </c>
      <c r="F37" s="1">
        <v>8.66</v>
      </c>
      <c r="G37" s="1">
        <v>5.81</v>
      </c>
      <c r="H37" s="1">
        <v>4.84</v>
      </c>
      <c r="I37" s="1">
        <v>2.87</v>
      </c>
      <c r="J37" s="1">
        <v>2.2999999999999998</v>
      </c>
      <c r="K37" s="1">
        <v>17.21</v>
      </c>
      <c r="L37" s="1">
        <v>209</v>
      </c>
      <c r="M37" s="1">
        <v>37</v>
      </c>
      <c r="N37" s="1">
        <v>6</v>
      </c>
      <c r="O37" s="1">
        <v>188.7</v>
      </c>
      <c r="P37" s="1">
        <v>14.31</v>
      </c>
      <c r="Q37" s="1">
        <f t="shared" si="0"/>
        <v>8.25</v>
      </c>
    </row>
    <row r="38" spans="1:17" x14ac:dyDescent="0.3">
      <c r="A38" s="1">
        <v>36</v>
      </c>
      <c r="B38" s="1">
        <v>42</v>
      </c>
      <c r="C38" s="1" t="s">
        <v>39</v>
      </c>
      <c r="D38" s="1">
        <v>38.520000000000003</v>
      </c>
      <c r="E38" s="1">
        <v>52.4</v>
      </c>
      <c r="F38" s="1">
        <v>47.6</v>
      </c>
      <c r="G38" s="1">
        <v>10.42</v>
      </c>
      <c r="H38" s="1">
        <v>9.69</v>
      </c>
      <c r="I38" s="1">
        <v>3.45</v>
      </c>
      <c r="J38" s="1">
        <v>8</v>
      </c>
      <c r="K38" s="1">
        <v>22.43</v>
      </c>
      <c r="L38" s="1">
        <v>244</v>
      </c>
      <c r="M38" s="1">
        <v>121</v>
      </c>
      <c r="N38" s="1">
        <v>2</v>
      </c>
      <c r="O38" s="1">
        <v>94.2</v>
      </c>
      <c r="P38" s="1">
        <v>14.29</v>
      </c>
      <c r="Q38" s="1">
        <f t="shared" si="0"/>
        <v>9</v>
      </c>
    </row>
    <row r="39" spans="1:17" x14ac:dyDescent="0.3">
      <c r="A39" s="1">
        <v>37</v>
      </c>
      <c r="B39" s="1">
        <v>43</v>
      </c>
      <c r="C39" s="1" t="s">
        <v>136</v>
      </c>
      <c r="D39" s="1">
        <v>65.790000000000006</v>
      </c>
      <c r="E39" s="1">
        <v>100</v>
      </c>
      <c r="F39" s="1">
        <v>0</v>
      </c>
      <c r="G39" s="1">
        <v>9.56</v>
      </c>
      <c r="H39" s="1">
        <v>8.33</v>
      </c>
      <c r="I39" s="1">
        <v>24.65</v>
      </c>
      <c r="J39" s="1">
        <v>9.8000000000000007</v>
      </c>
      <c r="K39" s="1">
        <v>18.989999999999998</v>
      </c>
      <c r="L39" s="1">
        <v>307</v>
      </c>
      <c r="M39" s="1">
        <v>133</v>
      </c>
      <c r="N39" s="1">
        <v>12</v>
      </c>
      <c r="O39" s="1">
        <v>124.55</v>
      </c>
      <c r="P39" s="1">
        <v>13.8</v>
      </c>
      <c r="Q39" s="1">
        <f t="shared" si="0"/>
        <v>7</v>
      </c>
    </row>
    <row r="44" spans="1:17" x14ac:dyDescent="0.3">
      <c r="A44" s="5"/>
      <c r="B44" s="5">
        <f>SUMPRODUCT(1/COUNTIF(B3:B39,B3:B39))</f>
        <v>37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</sheetData>
  <autoFilter ref="A2:Q2" xr:uid="{DA5852E9-A1A5-49D0-89B2-3F2CD03FB53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7D52-69BA-46E6-BF97-ACE52C2F70C4}">
  <sheetPr codeName="Sheet6"/>
  <dimension ref="A1:L97"/>
  <sheetViews>
    <sheetView topLeftCell="A61" zoomScaleNormal="100" workbookViewId="0">
      <selection activeCell="F96" sqref="F96"/>
    </sheetView>
  </sheetViews>
  <sheetFormatPr defaultRowHeight="14.4" x14ac:dyDescent="0.3"/>
  <cols>
    <col min="10" max="10" width="10.44140625" customWidth="1"/>
  </cols>
  <sheetData>
    <row r="1" spans="2:12" ht="18" x14ac:dyDescent="0.35">
      <c r="C1" s="109" t="s">
        <v>41</v>
      </c>
      <c r="D1" s="109"/>
      <c r="E1" s="109"/>
      <c r="F1" s="109"/>
      <c r="G1" s="109"/>
      <c r="H1" s="109"/>
      <c r="I1" s="109"/>
      <c r="J1" s="109"/>
    </row>
    <row r="2" spans="2:12" x14ac:dyDescent="0.3">
      <c r="C2" s="108" t="s">
        <v>42</v>
      </c>
      <c r="D2" s="108"/>
      <c r="E2" s="108"/>
      <c r="F2" s="108"/>
      <c r="G2" s="108"/>
      <c r="H2" s="108"/>
      <c r="I2" s="108"/>
      <c r="J2" s="108"/>
    </row>
    <row r="3" spans="2:12" x14ac:dyDescent="0.3">
      <c r="B3" t="s">
        <v>27</v>
      </c>
      <c r="C3" t="s">
        <v>43</v>
      </c>
    </row>
    <row r="4" spans="2:12" x14ac:dyDescent="0.3"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9">
        <v>0.8</v>
      </c>
      <c r="K4" s="9">
        <v>0.75</v>
      </c>
      <c r="L4" s="9">
        <v>0.7</v>
      </c>
    </row>
    <row r="5" spans="2:12" x14ac:dyDescent="0.3">
      <c r="B5" s="1">
        <v>6</v>
      </c>
      <c r="C5" s="10" t="s">
        <v>52</v>
      </c>
      <c r="D5" s="11"/>
      <c r="E5" s="1">
        <v>3600</v>
      </c>
      <c r="F5" s="1">
        <v>5.2</v>
      </c>
      <c r="G5" s="1">
        <f t="shared" ref="G5:G22" si="0">(E5*VALUE(LEFT(B5,3)*120*60*8)/(F5*14400*2.2046*36))*D5</f>
        <v>0</v>
      </c>
      <c r="H5" s="1"/>
      <c r="I5" s="1" t="e">
        <f>(H5*100)/G5</f>
        <v>#DIV/0!</v>
      </c>
      <c r="J5" s="1">
        <f>G5*0.8</f>
        <v>0</v>
      </c>
      <c r="K5" s="1">
        <f>G5*0.75</f>
        <v>0</v>
      </c>
      <c r="L5" s="1">
        <f>G5*0.7</f>
        <v>0</v>
      </c>
    </row>
    <row r="6" spans="2:12" x14ac:dyDescent="0.3">
      <c r="B6" s="1">
        <v>6.85</v>
      </c>
      <c r="C6" s="10" t="s">
        <v>53</v>
      </c>
      <c r="D6" s="1">
        <v>1</v>
      </c>
      <c r="E6" s="1">
        <v>3800</v>
      </c>
      <c r="F6" s="1">
        <v>5.2</v>
      </c>
      <c r="G6" s="1">
        <f t="shared" si="0"/>
        <v>250.44758783305457</v>
      </c>
      <c r="H6" s="1"/>
      <c r="I6" s="1">
        <f t="shared" ref="I6:I26" si="1">(H6*100)/G6</f>
        <v>0</v>
      </c>
      <c r="J6" s="1">
        <f>G6*0.8</f>
        <v>200.35807026644366</v>
      </c>
      <c r="K6" s="1">
        <f>G6*0.75</f>
        <v>187.83569087479094</v>
      </c>
      <c r="L6" s="1">
        <f>G6*0.7</f>
        <v>175.31331148313819</v>
      </c>
    </row>
    <row r="7" spans="2:12" x14ac:dyDescent="0.3">
      <c r="B7" s="1">
        <v>7</v>
      </c>
      <c r="C7" s="1" t="s">
        <v>54</v>
      </c>
      <c r="D7" s="11">
        <v>4</v>
      </c>
      <c r="E7" s="1">
        <v>3100</v>
      </c>
      <c r="F7" s="1">
        <v>5.0999999999999996</v>
      </c>
      <c r="G7" s="1">
        <f t="shared" si="0"/>
        <v>857.78260824020742</v>
      </c>
      <c r="H7" s="1"/>
      <c r="I7" s="1">
        <f t="shared" si="1"/>
        <v>0</v>
      </c>
      <c r="J7" s="1">
        <f>G7*0.8</f>
        <v>686.22608659216598</v>
      </c>
      <c r="K7" s="1">
        <f>G7*0.75</f>
        <v>643.33695618015554</v>
      </c>
      <c r="L7" s="1">
        <f>G7*0.7</f>
        <v>600.44782576814521</v>
      </c>
    </row>
    <row r="8" spans="2:12" x14ac:dyDescent="0.3">
      <c r="B8" s="1">
        <v>7.25</v>
      </c>
      <c r="C8" s="1" t="s">
        <v>55</v>
      </c>
      <c r="D8" s="11"/>
      <c r="E8" s="1">
        <v>3800</v>
      </c>
      <c r="F8" s="1">
        <v>5.05</v>
      </c>
      <c r="G8" s="1">
        <f t="shared" si="0"/>
        <v>0</v>
      </c>
      <c r="H8" s="1"/>
      <c r="I8" s="1" t="e">
        <f t="shared" si="1"/>
        <v>#DIV/0!</v>
      </c>
      <c r="J8" s="1">
        <f>G8*0.8</f>
        <v>0</v>
      </c>
      <c r="K8" s="1">
        <f>G8*0.75</f>
        <v>0</v>
      </c>
      <c r="L8" s="1">
        <f>G8*0.7</f>
        <v>0</v>
      </c>
    </row>
    <row r="9" spans="2:12" x14ac:dyDescent="0.3">
      <c r="B9" s="1">
        <v>7.7</v>
      </c>
      <c r="C9" s="1" t="s">
        <v>56</v>
      </c>
      <c r="D9" s="11">
        <v>3</v>
      </c>
      <c r="E9" s="1">
        <v>4000</v>
      </c>
      <c r="F9" s="1">
        <v>5</v>
      </c>
      <c r="G9" s="1">
        <f t="shared" si="0"/>
        <v>931.38589010856083</v>
      </c>
      <c r="H9" s="1"/>
      <c r="I9" s="1">
        <f t="shared" si="1"/>
        <v>0</v>
      </c>
      <c r="J9" s="1">
        <f t="shared" ref="J9:J22" si="2">G9*0.8</f>
        <v>745.10871208684875</v>
      </c>
      <c r="K9" s="1">
        <f t="shared" ref="K9:K22" si="3">G9*0.75</f>
        <v>698.53941758142059</v>
      </c>
      <c r="L9" s="1">
        <f t="shared" ref="L9:L22" si="4">G9*0.7</f>
        <v>651.97012307599255</v>
      </c>
    </row>
    <row r="10" spans="2:12" x14ac:dyDescent="0.3">
      <c r="B10" s="1">
        <v>8</v>
      </c>
      <c r="C10" s="1" t="s">
        <v>57</v>
      </c>
      <c r="D10" s="11">
        <v>11</v>
      </c>
      <c r="E10" s="1">
        <v>4000</v>
      </c>
      <c r="F10" s="1">
        <v>4.7699999999999996</v>
      </c>
      <c r="G10" s="1">
        <f t="shared" si="0"/>
        <v>3719.2208849298622</v>
      </c>
      <c r="H10" s="1"/>
      <c r="I10" s="1">
        <f t="shared" si="1"/>
        <v>0</v>
      </c>
      <c r="J10" s="1">
        <f t="shared" si="2"/>
        <v>2975.3767079438899</v>
      </c>
      <c r="K10" s="1">
        <f t="shared" si="3"/>
        <v>2789.4156636973967</v>
      </c>
      <c r="L10" s="1">
        <f t="shared" si="4"/>
        <v>2603.4546194509035</v>
      </c>
    </row>
    <row r="11" spans="2:12" x14ac:dyDescent="0.3">
      <c r="B11" s="1">
        <v>8</v>
      </c>
      <c r="C11" s="1" t="s">
        <v>58</v>
      </c>
      <c r="D11" s="1"/>
      <c r="E11" s="1">
        <v>4000</v>
      </c>
      <c r="F11" s="1">
        <v>4.7699999999999996</v>
      </c>
      <c r="G11" s="1">
        <f t="shared" si="0"/>
        <v>0</v>
      </c>
      <c r="H11" s="1"/>
      <c r="I11" s="1" t="e">
        <f t="shared" si="1"/>
        <v>#DIV/0!</v>
      </c>
      <c r="J11" s="1">
        <f t="shared" si="2"/>
        <v>0</v>
      </c>
      <c r="K11" s="1">
        <f t="shared" si="3"/>
        <v>0</v>
      </c>
      <c r="L11" s="1">
        <f t="shared" si="4"/>
        <v>0</v>
      </c>
    </row>
    <row r="12" spans="2:12" x14ac:dyDescent="0.3">
      <c r="B12" s="1">
        <v>8.25</v>
      </c>
      <c r="C12" s="1" t="s">
        <v>59</v>
      </c>
      <c r="D12" s="11">
        <v>4</v>
      </c>
      <c r="E12" s="1">
        <v>3200</v>
      </c>
      <c r="F12" s="1">
        <v>4.7</v>
      </c>
      <c r="G12" s="1">
        <f t="shared" si="0"/>
        <v>1125.5211272197032</v>
      </c>
      <c r="H12" s="1"/>
      <c r="I12" s="1">
        <f t="shared" si="1"/>
        <v>0</v>
      </c>
      <c r="J12" s="1">
        <f t="shared" si="2"/>
        <v>900.41690177576265</v>
      </c>
      <c r="K12" s="1">
        <f t="shared" si="3"/>
        <v>844.14084541477746</v>
      </c>
      <c r="L12" s="1">
        <f t="shared" si="4"/>
        <v>787.86478905379215</v>
      </c>
    </row>
    <row r="13" spans="2:12" x14ac:dyDescent="0.3">
      <c r="B13" s="1">
        <v>8.5</v>
      </c>
      <c r="C13" s="1" t="s">
        <v>154</v>
      </c>
      <c r="D13" s="11">
        <v>1</v>
      </c>
      <c r="E13" s="1">
        <v>3600</v>
      </c>
      <c r="F13" s="1">
        <v>4.7300000000000004</v>
      </c>
      <c r="G13" s="1">
        <f t="shared" si="0"/>
        <v>326.0528293809657</v>
      </c>
      <c r="H13" s="1"/>
      <c r="I13" s="1">
        <f t="shared" si="1"/>
        <v>0</v>
      </c>
      <c r="J13" s="1">
        <f t="shared" si="2"/>
        <v>260.84226350477257</v>
      </c>
      <c r="K13" s="1">
        <f t="shared" si="3"/>
        <v>244.53962203572428</v>
      </c>
      <c r="L13" s="1">
        <f t="shared" si="4"/>
        <v>228.23698056667598</v>
      </c>
    </row>
    <row r="14" spans="2:12" x14ac:dyDescent="0.3">
      <c r="B14" s="1">
        <v>9</v>
      </c>
      <c r="C14" s="1" t="s">
        <v>60</v>
      </c>
      <c r="D14" s="11">
        <v>1</v>
      </c>
      <c r="E14" s="1">
        <v>3600</v>
      </c>
      <c r="F14" s="1">
        <v>4.7</v>
      </c>
      <c r="G14" s="1">
        <f t="shared" si="0"/>
        <v>347.43601869205781</v>
      </c>
      <c r="H14" s="1"/>
      <c r="I14" s="1">
        <f t="shared" si="1"/>
        <v>0</v>
      </c>
      <c r="J14" s="1">
        <f t="shared" si="2"/>
        <v>277.94881495364626</v>
      </c>
      <c r="K14" s="1">
        <f t="shared" si="3"/>
        <v>260.57701401904336</v>
      </c>
      <c r="L14" s="1">
        <f t="shared" si="4"/>
        <v>243.20521308444046</v>
      </c>
    </row>
    <row r="15" spans="2:12" x14ac:dyDescent="0.3">
      <c r="B15" s="1">
        <v>9.6</v>
      </c>
      <c r="C15" s="1" t="s">
        <v>61</v>
      </c>
      <c r="D15" s="1">
        <v>3</v>
      </c>
      <c r="E15" s="1">
        <v>3600</v>
      </c>
      <c r="F15" s="1">
        <v>4.5999999999999996</v>
      </c>
      <c r="G15" s="1">
        <f t="shared" si="0"/>
        <v>1135.9647219844674</v>
      </c>
      <c r="H15" s="1"/>
      <c r="I15" s="1">
        <f t="shared" si="1"/>
        <v>0</v>
      </c>
      <c r="J15" s="1">
        <f t="shared" si="2"/>
        <v>908.77177758757398</v>
      </c>
      <c r="K15" s="1">
        <f t="shared" si="3"/>
        <v>851.97354148835052</v>
      </c>
      <c r="L15" s="1">
        <f t="shared" si="4"/>
        <v>795.17530538912706</v>
      </c>
    </row>
    <row r="16" spans="2:12" x14ac:dyDescent="0.3">
      <c r="B16" s="1">
        <v>11</v>
      </c>
      <c r="C16" s="1" t="s">
        <v>62</v>
      </c>
      <c r="D16" s="78"/>
      <c r="E16" s="1">
        <v>3800</v>
      </c>
      <c r="F16" s="1">
        <v>3.9</v>
      </c>
      <c r="G16" s="1">
        <f t="shared" si="0"/>
        <v>0</v>
      </c>
      <c r="H16" s="1"/>
      <c r="I16" s="1" t="e">
        <f t="shared" si="1"/>
        <v>#DIV/0!</v>
      </c>
      <c r="J16" s="1">
        <f t="shared" si="2"/>
        <v>0</v>
      </c>
      <c r="K16" s="1">
        <f t="shared" si="3"/>
        <v>0</v>
      </c>
      <c r="L16" s="1">
        <f t="shared" si="4"/>
        <v>0</v>
      </c>
    </row>
    <row r="17" spans="2:12" x14ac:dyDescent="0.3">
      <c r="B17" s="1">
        <v>12</v>
      </c>
      <c r="C17" s="1" t="s">
        <v>63</v>
      </c>
      <c r="D17" s="1"/>
      <c r="E17" s="1">
        <v>3800</v>
      </c>
      <c r="F17" s="1">
        <v>3.85</v>
      </c>
      <c r="G17" s="1">
        <f t="shared" si="0"/>
        <v>0</v>
      </c>
      <c r="H17" s="1"/>
      <c r="I17" s="1" t="e">
        <f t="shared" si="1"/>
        <v>#DIV/0!</v>
      </c>
      <c r="J17" s="1">
        <f t="shared" si="2"/>
        <v>0</v>
      </c>
      <c r="K17" s="1">
        <f t="shared" si="3"/>
        <v>0</v>
      </c>
      <c r="L17" s="1">
        <f t="shared" si="4"/>
        <v>0</v>
      </c>
    </row>
    <row r="18" spans="2:12" x14ac:dyDescent="0.3">
      <c r="B18" s="1">
        <v>13</v>
      </c>
      <c r="C18" s="1" t="s">
        <v>64</v>
      </c>
      <c r="D18" s="1">
        <v>9</v>
      </c>
      <c r="E18" s="1">
        <v>3700</v>
      </c>
      <c r="F18" s="1">
        <v>3.75</v>
      </c>
      <c r="G18" s="1">
        <f t="shared" si="0"/>
        <v>5818.137833015815</v>
      </c>
      <c r="H18" s="1"/>
      <c r="I18" s="1">
        <f t="shared" si="1"/>
        <v>0</v>
      </c>
      <c r="J18" s="1">
        <f t="shared" si="2"/>
        <v>4654.5102664126525</v>
      </c>
      <c r="K18" s="1">
        <f t="shared" si="3"/>
        <v>4363.6033747618612</v>
      </c>
      <c r="L18" s="1">
        <f t="shared" si="4"/>
        <v>4072.6964831110704</v>
      </c>
    </row>
    <row r="19" spans="2:12" x14ac:dyDescent="0.3">
      <c r="B19" s="1">
        <v>14</v>
      </c>
      <c r="C19" s="1" t="s">
        <v>65</v>
      </c>
      <c r="D19" s="11">
        <v>3</v>
      </c>
      <c r="E19" s="1">
        <v>3600</v>
      </c>
      <c r="F19" s="1">
        <v>3.65</v>
      </c>
      <c r="G19" s="1">
        <f t="shared" si="0"/>
        <v>2087.7890438298996</v>
      </c>
      <c r="H19" s="1"/>
      <c r="I19" s="1">
        <f t="shared" si="1"/>
        <v>0</v>
      </c>
      <c r="J19" s="1">
        <f t="shared" si="2"/>
        <v>1670.2312350639197</v>
      </c>
      <c r="K19" s="1">
        <f t="shared" si="3"/>
        <v>1565.8417828724246</v>
      </c>
      <c r="L19" s="1">
        <f t="shared" si="4"/>
        <v>1461.4523306809297</v>
      </c>
    </row>
    <row r="20" spans="2:12" x14ac:dyDescent="0.3">
      <c r="B20" s="1">
        <v>10</v>
      </c>
      <c r="C20" s="1" t="s">
        <v>66</v>
      </c>
      <c r="D20" s="1"/>
      <c r="E20" s="1">
        <v>3800</v>
      </c>
      <c r="F20" s="1">
        <v>4.0999999999999996</v>
      </c>
      <c r="G20" s="1">
        <f t="shared" si="0"/>
        <v>0</v>
      </c>
      <c r="H20" s="1"/>
      <c r="I20" s="1" t="e">
        <f t="shared" si="1"/>
        <v>#DIV/0!</v>
      </c>
      <c r="J20" s="1">
        <f t="shared" si="2"/>
        <v>0</v>
      </c>
      <c r="K20" s="1">
        <f t="shared" si="3"/>
        <v>0</v>
      </c>
      <c r="L20" s="1">
        <f t="shared" si="4"/>
        <v>0</v>
      </c>
    </row>
    <row r="21" spans="2:12" x14ac:dyDescent="0.3">
      <c r="B21" s="1">
        <v>10.5</v>
      </c>
      <c r="C21" s="1" t="s">
        <v>67</v>
      </c>
      <c r="D21" s="1"/>
      <c r="E21" s="1">
        <v>3800</v>
      </c>
      <c r="F21" s="1">
        <v>3.95</v>
      </c>
      <c r="G21" s="1">
        <f t="shared" si="0"/>
        <v>0</v>
      </c>
      <c r="H21" s="1"/>
      <c r="I21" s="1" t="e">
        <f t="shared" si="1"/>
        <v>#DIV/0!</v>
      </c>
      <c r="J21" s="1">
        <f t="shared" si="2"/>
        <v>0</v>
      </c>
      <c r="K21" s="1">
        <f t="shared" si="3"/>
        <v>0</v>
      </c>
      <c r="L21" s="1">
        <f t="shared" si="4"/>
        <v>0</v>
      </c>
    </row>
    <row r="22" spans="2:12" x14ac:dyDescent="0.3">
      <c r="B22" s="1">
        <v>14</v>
      </c>
      <c r="C22" s="1" t="s">
        <v>68</v>
      </c>
      <c r="D22" s="1"/>
      <c r="E22" s="1">
        <v>3700</v>
      </c>
      <c r="F22" s="1">
        <v>3.65</v>
      </c>
      <c r="G22" s="1">
        <f t="shared" si="0"/>
        <v>0</v>
      </c>
      <c r="H22" s="1"/>
      <c r="I22" s="1" t="e">
        <f t="shared" si="1"/>
        <v>#DIV/0!</v>
      </c>
      <c r="J22" s="1">
        <f t="shared" si="2"/>
        <v>0</v>
      </c>
      <c r="K22" s="1">
        <f t="shared" si="3"/>
        <v>0</v>
      </c>
      <c r="L22" s="1">
        <f t="shared" si="4"/>
        <v>0</v>
      </c>
    </row>
    <row r="23" spans="2:1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3">
      <c r="B26" s="1"/>
      <c r="C26" s="1"/>
      <c r="D26" s="1"/>
      <c r="E26" s="1"/>
      <c r="F26" s="1"/>
      <c r="G26" s="1"/>
      <c r="H26" s="1"/>
      <c r="I26" s="1" t="e">
        <f t="shared" si="1"/>
        <v>#DIV/0!</v>
      </c>
      <c r="J26" s="1"/>
      <c r="K26" s="1"/>
      <c r="L26" s="1"/>
    </row>
    <row r="27" spans="2:12" x14ac:dyDescent="0.3">
      <c r="B27" s="1">
        <f>SUMPRODUCT(B5:B22,D5:D22)/SUM(D5:D22)</f>
        <v>9.6062499999999993</v>
      </c>
      <c r="C27" s="1"/>
      <c r="D27" s="1">
        <f>SUM(D5:D26)</f>
        <v>40</v>
      </c>
      <c r="E27" s="1">
        <f>AVERAGE(E5:E26)</f>
        <v>3694.4444444444443</v>
      </c>
      <c r="F27" s="1">
        <f>AVERAGE(F5:F26)</f>
        <v>4.4816666666666682</v>
      </c>
      <c r="G27" s="1">
        <f>SUM(G5:G26)</f>
        <v>16599.738545234592</v>
      </c>
      <c r="H27" s="1">
        <f>SUM(H5:H26)</f>
        <v>0</v>
      </c>
      <c r="I27" s="1">
        <f>AVERAGEIF(I5:I26,"&lt;&gt;#DIV/0!")</f>
        <v>0</v>
      </c>
      <c r="J27" s="2">
        <f>SUM(J5:J26)</f>
        <v>13279.790836187678</v>
      </c>
      <c r="K27" s="1">
        <f>SUM(K5:K26)</f>
        <v>12449.803908925946</v>
      </c>
      <c r="L27" s="1">
        <f>SUM(L5:L26)</f>
        <v>11619.816981664215</v>
      </c>
    </row>
    <row r="30" spans="2:12" x14ac:dyDescent="0.3">
      <c r="C30" s="2" t="s">
        <v>69</v>
      </c>
      <c r="D30" s="2" t="s">
        <v>51</v>
      </c>
    </row>
    <row r="31" spans="2:12" x14ac:dyDescent="0.3">
      <c r="C31" s="1">
        <v>12025</v>
      </c>
      <c r="D31" s="12">
        <f>C31/G27</f>
        <v>0.72440900001115405</v>
      </c>
    </row>
    <row r="34" spans="1:12" ht="18" x14ac:dyDescent="0.35">
      <c r="C34" s="109" t="s">
        <v>41</v>
      </c>
      <c r="D34" s="109"/>
      <c r="E34" s="109"/>
      <c r="F34" s="109"/>
      <c r="G34" s="109"/>
      <c r="H34" s="109"/>
      <c r="I34" s="109"/>
      <c r="J34" s="109"/>
    </row>
    <row r="35" spans="1:12" x14ac:dyDescent="0.3">
      <c r="C35" s="108" t="s">
        <v>42</v>
      </c>
      <c r="D35" s="108"/>
      <c r="E35" s="108"/>
      <c r="F35" s="108"/>
      <c r="G35" s="108"/>
      <c r="H35" s="108"/>
      <c r="I35" s="108"/>
      <c r="J35" s="108"/>
    </row>
    <row r="36" spans="1:12" x14ac:dyDescent="0.3">
      <c r="B36" t="s">
        <v>27</v>
      </c>
      <c r="C36" t="s">
        <v>28</v>
      </c>
    </row>
    <row r="37" spans="1:12" x14ac:dyDescent="0.3">
      <c r="B37" s="2" t="s">
        <v>44</v>
      </c>
      <c r="C37" s="2" t="s">
        <v>45</v>
      </c>
      <c r="D37" s="2" t="s">
        <v>46</v>
      </c>
      <c r="E37" s="2" t="s">
        <v>47</v>
      </c>
      <c r="F37" s="2" t="s">
        <v>48</v>
      </c>
      <c r="G37" s="2" t="s">
        <v>49</v>
      </c>
      <c r="H37" s="2" t="s">
        <v>50</v>
      </c>
      <c r="I37" s="2" t="s">
        <v>51</v>
      </c>
      <c r="J37" s="9">
        <v>0.8</v>
      </c>
      <c r="K37" s="9">
        <v>0.75</v>
      </c>
      <c r="L37" s="9">
        <v>0.7</v>
      </c>
    </row>
    <row r="38" spans="1:12" x14ac:dyDescent="0.3">
      <c r="B38" s="1">
        <v>6</v>
      </c>
      <c r="C38" s="10" t="s">
        <v>52</v>
      </c>
      <c r="D38" s="11"/>
      <c r="E38" s="1">
        <v>3600</v>
      </c>
      <c r="F38" s="1">
        <v>5.2</v>
      </c>
      <c r="G38" s="1">
        <f t="shared" ref="G38:G55" si="5">(E38*VALUE(LEFT(B38,3)*120*60*8)/(F38*14400*2.2046*36))*D38</f>
        <v>0</v>
      </c>
      <c r="H38" s="1"/>
      <c r="I38" s="1" t="e">
        <f>(H38*100)/G38</f>
        <v>#DIV/0!</v>
      </c>
      <c r="J38" s="1">
        <f>G38*0.8</f>
        <v>0</v>
      </c>
      <c r="K38" s="1">
        <f>G38*0.75</f>
        <v>0</v>
      </c>
      <c r="L38" s="1">
        <f>G38*0.7</f>
        <v>0</v>
      </c>
    </row>
    <row r="39" spans="1:12" x14ac:dyDescent="0.3">
      <c r="B39" s="1">
        <v>6.85</v>
      </c>
      <c r="C39" s="10" t="s">
        <v>53</v>
      </c>
      <c r="D39" s="1"/>
      <c r="E39" s="1">
        <v>3800</v>
      </c>
      <c r="F39" s="1">
        <v>5.2</v>
      </c>
      <c r="G39" s="1">
        <f t="shared" si="5"/>
        <v>0</v>
      </c>
      <c r="H39" s="1"/>
      <c r="I39" s="1" t="e">
        <f t="shared" ref="I39:I55" si="6">(H39*100)/G39</f>
        <v>#DIV/0!</v>
      </c>
      <c r="J39" s="1">
        <f>G39*0.8</f>
        <v>0</v>
      </c>
      <c r="K39" s="1">
        <f>G39*0.75</f>
        <v>0</v>
      </c>
      <c r="L39" s="1">
        <f>G39*0.7</f>
        <v>0</v>
      </c>
    </row>
    <row r="40" spans="1:12" x14ac:dyDescent="0.3">
      <c r="A40">
        <v>1</v>
      </c>
      <c r="B40" s="1">
        <v>7</v>
      </c>
      <c r="C40" s="1" t="s">
        <v>54</v>
      </c>
      <c r="D40" s="11">
        <v>4</v>
      </c>
      <c r="E40" s="1">
        <v>3100</v>
      </c>
      <c r="F40" s="1">
        <v>5.0999999999999996</v>
      </c>
      <c r="G40" s="1">
        <f t="shared" si="5"/>
        <v>857.78260824020742</v>
      </c>
      <c r="H40" s="1"/>
      <c r="I40" s="1">
        <f t="shared" si="6"/>
        <v>0</v>
      </c>
      <c r="J40" s="1">
        <f>G40*0.8</f>
        <v>686.22608659216598</v>
      </c>
      <c r="K40" s="1">
        <f>G40*0.75</f>
        <v>643.33695618015554</v>
      </c>
      <c r="L40" s="1">
        <f>G40*0.7</f>
        <v>600.44782576814521</v>
      </c>
    </row>
    <row r="41" spans="1:12" x14ac:dyDescent="0.3">
      <c r="B41" s="1">
        <v>7.25</v>
      </c>
      <c r="C41" s="1" t="s">
        <v>55</v>
      </c>
      <c r="D41" s="11"/>
      <c r="E41" s="1">
        <v>3800</v>
      </c>
      <c r="F41" s="1">
        <v>5.05</v>
      </c>
      <c r="G41" s="1">
        <f t="shared" si="5"/>
        <v>0</v>
      </c>
      <c r="H41" s="1"/>
      <c r="I41" s="1" t="e">
        <f t="shared" si="6"/>
        <v>#DIV/0!</v>
      </c>
      <c r="J41" s="1">
        <f>G41*0.8</f>
        <v>0</v>
      </c>
      <c r="K41" s="1">
        <f>G41*0.75</f>
        <v>0</v>
      </c>
      <c r="L41" s="1">
        <f>G41*0.7</f>
        <v>0</v>
      </c>
    </row>
    <row r="42" spans="1:12" x14ac:dyDescent="0.3">
      <c r="A42">
        <v>1</v>
      </c>
      <c r="B42" s="1">
        <v>7.7</v>
      </c>
      <c r="C42" s="1" t="s">
        <v>56</v>
      </c>
      <c r="D42" s="11">
        <v>4</v>
      </c>
      <c r="E42" s="1">
        <v>4000</v>
      </c>
      <c r="F42" s="1">
        <v>5</v>
      </c>
      <c r="G42" s="1">
        <f t="shared" si="5"/>
        <v>1241.8478534780811</v>
      </c>
      <c r="H42" s="1"/>
      <c r="I42" s="1">
        <f t="shared" si="6"/>
        <v>0</v>
      </c>
      <c r="J42" s="1">
        <f t="shared" ref="J42:J55" si="7">G42*0.8</f>
        <v>993.47828278246493</v>
      </c>
      <c r="K42" s="1">
        <f t="shared" ref="K42:K55" si="8">G42*0.75</f>
        <v>931.38589010856083</v>
      </c>
      <c r="L42" s="1">
        <f t="shared" ref="L42:L55" si="9">G42*0.7</f>
        <v>869.29349743465673</v>
      </c>
    </row>
    <row r="43" spans="1:12" x14ac:dyDescent="0.3">
      <c r="A43">
        <v>1</v>
      </c>
      <c r="B43" s="1">
        <v>8</v>
      </c>
      <c r="C43" s="1" t="s">
        <v>57</v>
      </c>
      <c r="D43" s="11">
        <v>12</v>
      </c>
      <c r="E43" s="1">
        <v>4000</v>
      </c>
      <c r="F43" s="1">
        <v>4.7699999999999996</v>
      </c>
      <c r="G43" s="1">
        <f t="shared" si="5"/>
        <v>4057.3318744689404</v>
      </c>
      <c r="H43" s="1"/>
      <c r="I43" s="1">
        <f t="shared" si="6"/>
        <v>0</v>
      </c>
      <c r="J43" s="1">
        <f t="shared" si="7"/>
        <v>3245.8654995751526</v>
      </c>
      <c r="K43" s="1">
        <f t="shared" si="8"/>
        <v>3042.9989058517053</v>
      </c>
      <c r="L43" s="1">
        <f t="shared" si="9"/>
        <v>2840.132312128258</v>
      </c>
    </row>
    <row r="44" spans="1:12" x14ac:dyDescent="0.3">
      <c r="B44" s="1">
        <v>8</v>
      </c>
      <c r="C44" s="1" t="s">
        <v>58</v>
      </c>
      <c r="D44" s="1"/>
      <c r="E44" s="1">
        <v>4000</v>
      </c>
      <c r="F44" s="1">
        <v>4.7699999999999996</v>
      </c>
      <c r="G44" s="1">
        <f t="shared" si="5"/>
        <v>0</v>
      </c>
      <c r="H44" s="1"/>
      <c r="I44" s="1" t="e">
        <f t="shared" si="6"/>
        <v>#DIV/0!</v>
      </c>
      <c r="J44" s="1">
        <f t="shared" si="7"/>
        <v>0</v>
      </c>
      <c r="K44" s="1">
        <f t="shared" si="8"/>
        <v>0</v>
      </c>
      <c r="L44" s="1">
        <f t="shared" si="9"/>
        <v>0</v>
      </c>
    </row>
    <row r="45" spans="1:12" x14ac:dyDescent="0.3">
      <c r="A45">
        <v>1</v>
      </c>
      <c r="B45" s="1">
        <v>8.25</v>
      </c>
      <c r="C45" s="1" t="s">
        <v>59</v>
      </c>
      <c r="D45" s="11">
        <v>4</v>
      </c>
      <c r="E45" s="1">
        <v>3200</v>
      </c>
      <c r="F45" s="1">
        <v>4.7</v>
      </c>
      <c r="G45" s="1">
        <f t="shared" si="5"/>
        <v>1125.5211272197032</v>
      </c>
      <c r="H45" s="1"/>
      <c r="I45" s="1">
        <f t="shared" si="6"/>
        <v>0</v>
      </c>
      <c r="J45" s="1">
        <f t="shared" si="7"/>
        <v>900.41690177576265</v>
      </c>
      <c r="K45" s="1">
        <f t="shared" si="8"/>
        <v>844.14084541477746</v>
      </c>
      <c r="L45" s="1">
        <f t="shared" si="9"/>
        <v>787.86478905379215</v>
      </c>
    </row>
    <row r="46" spans="1:12" x14ac:dyDescent="0.3">
      <c r="B46" s="1">
        <v>8.5</v>
      </c>
      <c r="C46" s="1" t="s">
        <v>154</v>
      </c>
      <c r="D46" s="11">
        <v>2</v>
      </c>
      <c r="E46" s="1">
        <v>3600</v>
      </c>
      <c r="F46" s="1">
        <v>4.7300000000000004</v>
      </c>
      <c r="G46" s="1">
        <f t="shared" si="5"/>
        <v>652.10565876193141</v>
      </c>
      <c r="H46" s="1"/>
      <c r="I46" s="1">
        <f t="shared" si="6"/>
        <v>0</v>
      </c>
      <c r="J46" s="1">
        <f t="shared" si="7"/>
        <v>521.68452700954515</v>
      </c>
      <c r="K46" s="1">
        <f t="shared" si="8"/>
        <v>489.07924407144856</v>
      </c>
      <c r="L46" s="1">
        <f t="shared" si="9"/>
        <v>456.47396113335196</v>
      </c>
    </row>
    <row r="47" spans="1:12" x14ac:dyDescent="0.3">
      <c r="B47" s="1">
        <v>9</v>
      </c>
      <c r="C47" s="1" t="s">
        <v>60</v>
      </c>
      <c r="D47" s="11"/>
      <c r="E47" s="1">
        <v>3600</v>
      </c>
      <c r="F47" s="1">
        <v>4.7</v>
      </c>
      <c r="G47" s="1">
        <f t="shared" si="5"/>
        <v>0</v>
      </c>
      <c r="H47" s="1"/>
      <c r="I47" s="1" t="e">
        <f t="shared" si="6"/>
        <v>#DIV/0!</v>
      </c>
      <c r="J47" s="1">
        <f t="shared" si="7"/>
        <v>0</v>
      </c>
      <c r="K47" s="1">
        <f t="shared" si="8"/>
        <v>0</v>
      </c>
      <c r="L47" s="1">
        <f t="shared" si="9"/>
        <v>0</v>
      </c>
    </row>
    <row r="48" spans="1:12" x14ac:dyDescent="0.3">
      <c r="B48" s="1">
        <v>9.6</v>
      </c>
      <c r="C48" s="1" t="s">
        <v>61</v>
      </c>
      <c r="D48" s="1">
        <v>3</v>
      </c>
      <c r="E48" s="1">
        <v>3600</v>
      </c>
      <c r="F48" s="1">
        <v>4.5999999999999996</v>
      </c>
      <c r="G48" s="1">
        <f t="shared" si="5"/>
        <v>1135.9647219844674</v>
      </c>
      <c r="H48" s="1"/>
      <c r="I48" s="1">
        <f t="shared" si="6"/>
        <v>0</v>
      </c>
      <c r="J48" s="1">
        <f t="shared" si="7"/>
        <v>908.77177758757398</v>
      </c>
      <c r="K48" s="1">
        <f t="shared" si="8"/>
        <v>851.97354148835052</v>
      </c>
      <c r="L48" s="1">
        <f t="shared" si="9"/>
        <v>795.17530538912706</v>
      </c>
    </row>
    <row r="49" spans="2:12" x14ac:dyDescent="0.3">
      <c r="B49" s="1">
        <v>11</v>
      </c>
      <c r="C49" s="1" t="s">
        <v>62</v>
      </c>
      <c r="D49" s="78"/>
      <c r="E49" s="1">
        <v>3800</v>
      </c>
      <c r="F49" s="1">
        <v>3.9</v>
      </c>
      <c r="G49" s="1">
        <f t="shared" si="5"/>
        <v>0</v>
      </c>
      <c r="H49" s="1"/>
      <c r="I49" s="1" t="e">
        <f t="shared" si="6"/>
        <v>#DIV/0!</v>
      </c>
      <c r="J49" s="1">
        <f t="shared" si="7"/>
        <v>0</v>
      </c>
      <c r="K49" s="1">
        <f t="shared" si="8"/>
        <v>0</v>
      </c>
      <c r="L49" s="1">
        <f t="shared" si="9"/>
        <v>0</v>
      </c>
    </row>
    <row r="50" spans="2:12" x14ac:dyDescent="0.3">
      <c r="B50" s="1">
        <v>12</v>
      </c>
      <c r="C50" s="1" t="s">
        <v>63</v>
      </c>
      <c r="D50" s="1"/>
      <c r="E50" s="1">
        <v>3800</v>
      </c>
      <c r="F50" s="1">
        <v>3.85</v>
      </c>
      <c r="G50" s="1">
        <f t="shared" si="5"/>
        <v>0</v>
      </c>
      <c r="H50" s="1"/>
      <c r="I50" s="1" t="e">
        <f t="shared" si="6"/>
        <v>#DIV/0!</v>
      </c>
      <c r="J50" s="1">
        <f t="shared" si="7"/>
        <v>0</v>
      </c>
      <c r="K50" s="1">
        <f t="shared" si="8"/>
        <v>0</v>
      </c>
      <c r="L50" s="1">
        <f t="shared" si="9"/>
        <v>0</v>
      </c>
    </row>
    <row r="51" spans="2:12" x14ac:dyDescent="0.3">
      <c r="B51" s="1">
        <v>13</v>
      </c>
      <c r="C51" s="1" t="s">
        <v>64</v>
      </c>
      <c r="D51" s="1">
        <v>8</v>
      </c>
      <c r="E51" s="1">
        <v>3700</v>
      </c>
      <c r="F51" s="1">
        <v>3.75</v>
      </c>
      <c r="G51" s="1">
        <f t="shared" si="5"/>
        <v>5171.6780737918352</v>
      </c>
      <c r="H51" s="1"/>
      <c r="I51" s="1">
        <f t="shared" si="6"/>
        <v>0</v>
      </c>
      <c r="J51" s="1">
        <f t="shared" si="7"/>
        <v>4137.342459033468</v>
      </c>
      <c r="K51" s="1">
        <f t="shared" si="8"/>
        <v>3878.7585553438767</v>
      </c>
      <c r="L51" s="1">
        <f t="shared" si="9"/>
        <v>3620.1746516542844</v>
      </c>
    </row>
    <row r="52" spans="2:12" x14ac:dyDescent="0.3">
      <c r="B52" s="1">
        <v>14</v>
      </c>
      <c r="C52" s="1" t="s">
        <v>65</v>
      </c>
      <c r="D52" s="11">
        <v>3</v>
      </c>
      <c r="E52" s="1">
        <v>3600</v>
      </c>
      <c r="F52" s="1">
        <v>3.65</v>
      </c>
      <c r="G52" s="1">
        <f t="shared" si="5"/>
        <v>2087.7890438298996</v>
      </c>
      <c r="H52" s="1"/>
      <c r="I52" s="1">
        <f t="shared" si="6"/>
        <v>0</v>
      </c>
      <c r="J52" s="1">
        <f t="shared" si="7"/>
        <v>1670.2312350639197</v>
      </c>
      <c r="K52" s="1">
        <f t="shared" si="8"/>
        <v>1565.8417828724246</v>
      </c>
      <c r="L52" s="1">
        <f t="shared" si="9"/>
        <v>1461.4523306809297</v>
      </c>
    </row>
    <row r="53" spans="2:12" x14ac:dyDescent="0.3">
      <c r="B53" s="1">
        <v>10</v>
      </c>
      <c r="C53" s="1" t="s">
        <v>66</v>
      </c>
      <c r="D53" s="1"/>
      <c r="E53" s="1">
        <v>3800</v>
      </c>
      <c r="F53" s="1">
        <v>4.0999999999999996</v>
      </c>
      <c r="G53" s="1">
        <f t="shared" si="5"/>
        <v>0</v>
      </c>
      <c r="H53" s="1"/>
      <c r="I53" s="1" t="e">
        <f t="shared" si="6"/>
        <v>#DIV/0!</v>
      </c>
      <c r="J53" s="1">
        <f t="shared" si="7"/>
        <v>0</v>
      </c>
      <c r="K53" s="1">
        <f t="shared" si="8"/>
        <v>0</v>
      </c>
      <c r="L53" s="1">
        <f t="shared" si="9"/>
        <v>0</v>
      </c>
    </row>
    <row r="54" spans="2:12" x14ac:dyDescent="0.3">
      <c r="B54" s="1">
        <v>10.5</v>
      </c>
      <c r="C54" s="1" t="s">
        <v>67</v>
      </c>
      <c r="D54" s="1"/>
      <c r="E54" s="1">
        <v>3800</v>
      </c>
      <c r="F54" s="1">
        <v>3.95</v>
      </c>
      <c r="G54" s="1">
        <f t="shared" si="5"/>
        <v>0</v>
      </c>
      <c r="H54" s="1"/>
      <c r="I54" s="1" t="e">
        <f t="shared" si="6"/>
        <v>#DIV/0!</v>
      </c>
      <c r="J54" s="1">
        <f t="shared" si="7"/>
        <v>0</v>
      </c>
      <c r="K54" s="1">
        <f t="shared" si="8"/>
        <v>0</v>
      </c>
      <c r="L54" s="1">
        <f t="shared" si="9"/>
        <v>0</v>
      </c>
    </row>
    <row r="55" spans="2:12" x14ac:dyDescent="0.3">
      <c r="B55" s="1">
        <v>14</v>
      </c>
      <c r="C55" s="1" t="s">
        <v>68</v>
      </c>
      <c r="D55" s="1"/>
      <c r="E55" s="1">
        <v>3700</v>
      </c>
      <c r="F55" s="1">
        <v>3.65</v>
      </c>
      <c r="G55" s="1">
        <f t="shared" si="5"/>
        <v>0</v>
      </c>
      <c r="H55" s="1"/>
      <c r="I55" s="1" t="e">
        <f t="shared" si="6"/>
        <v>#DIV/0!</v>
      </c>
      <c r="J55" s="1">
        <f t="shared" si="7"/>
        <v>0</v>
      </c>
      <c r="K55" s="1">
        <f t="shared" si="8"/>
        <v>0</v>
      </c>
      <c r="L55" s="1">
        <f t="shared" si="9"/>
        <v>0</v>
      </c>
    </row>
    <row r="56" spans="2:12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2:12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2:12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2:12" x14ac:dyDescent="0.3">
      <c r="B59" s="1"/>
      <c r="C59" s="1"/>
      <c r="D59" s="1"/>
      <c r="E59" s="1"/>
      <c r="F59" s="1"/>
      <c r="G59" s="1"/>
      <c r="H59" s="1"/>
      <c r="I59" s="1" t="e">
        <f t="shared" ref="I59" si="10">(H59*100)/G59</f>
        <v>#DIV/0!</v>
      </c>
      <c r="J59" s="1"/>
      <c r="K59" s="1"/>
      <c r="L59" s="1"/>
    </row>
    <row r="60" spans="2:12" x14ac:dyDescent="0.3">
      <c r="B60" s="1">
        <f>SUMPRODUCT(B38:B55,D38:D55)/SUM(D38:D55)</f>
        <v>9.49</v>
      </c>
      <c r="C60" s="1"/>
      <c r="D60" s="1">
        <f>SUM(D38:D59)</f>
        <v>40</v>
      </c>
      <c r="E60" s="1">
        <f>AVERAGE(E38:E59)</f>
        <v>3694.4444444444443</v>
      </c>
      <c r="F60" s="1">
        <f>AVERAGE(F38:F59)</f>
        <v>4.4816666666666682</v>
      </c>
      <c r="G60" s="1">
        <f>SUM(G38:G59)</f>
        <v>16330.020961775066</v>
      </c>
      <c r="H60" s="1">
        <f>SUM(H38:H59)</f>
        <v>0</v>
      </c>
      <c r="I60" s="1">
        <f>AVERAGEIF(I38:I59,"&lt;&gt;#DIV/0!")</f>
        <v>0</v>
      </c>
      <c r="J60" s="2">
        <f>SUM(J38:J59)</f>
        <v>13064.016769420055</v>
      </c>
      <c r="K60" s="1">
        <f>SUM(K38:K59)</f>
        <v>12247.515721331301</v>
      </c>
      <c r="L60" s="1">
        <f>SUM(L38:L59)</f>
        <v>11431.014673242544</v>
      </c>
    </row>
    <row r="63" spans="2:12" x14ac:dyDescent="0.3">
      <c r="C63" s="2" t="s">
        <v>69</v>
      </c>
      <c r="D63" s="2" t="s">
        <v>51</v>
      </c>
    </row>
    <row r="64" spans="2:12" x14ac:dyDescent="0.3">
      <c r="C64" s="1">
        <v>12125</v>
      </c>
      <c r="D64" s="12">
        <f>C64/G60</f>
        <v>0.74249751597881708</v>
      </c>
    </row>
    <row r="67" spans="2:12" ht="18" x14ac:dyDescent="0.35">
      <c r="C67" s="109" t="s">
        <v>41</v>
      </c>
      <c r="D67" s="109"/>
      <c r="E67" s="109"/>
      <c r="F67" s="109"/>
      <c r="G67" s="109"/>
      <c r="H67" s="109"/>
      <c r="I67" s="109"/>
      <c r="J67" s="109"/>
    </row>
    <row r="68" spans="2:12" x14ac:dyDescent="0.3">
      <c r="C68" s="108" t="s">
        <v>42</v>
      </c>
      <c r="D68" s="108"/>
      <c r="E68" s="108"/>
      <c r="F68" s="108"/>
      <c r="G68" s="108"/>
      <c r="H68" s="108"/>
      <c r="I68" s="108"/>
      <c r="J68" s="108"/>
    </row>
    <row r="69" spans="2:12" x14ac:dyDescent="0.3">
      <c r="B69" t="s">
        <v>27</v>
      </c>
      <c r="C69" t="s">
        <v>31</v>
      </c>
    </row>
    <row r="70" spans="2:12" x14ac:dyDescent="0.3">
      <c r="B70" s="2" t="s">
        <v>44</v>
      </c>
      <c r="C70" s="2" t="s">
        <v>45</v>
      </c>
      <c r="D70" s="2" t="s">
        <v>46</v>
      </c>
      <c r="E70" s="2" t="s">
        <v>47</v>
      </c>
      <c r="F70" s="2" t="s">
        <v>48</v>
      </c>
      <c r="G70" s="2" t="s">
        <v>49</v>
      </c>
      <c r="H70" s="2" t="s">
        <v>50</v>
      </c>
      <c r="I70" s="2" t="s">
        <v>51</v>
      </c>
      <c r="J70" s="9">
        <v>0.8</v>
      </c>
      <c r="K70" s="9">
        <v>0.75</v>
      </c>
      <c r="L70" s="9">
        <v>0.7</v>
      </c>
    </row>
    <row r="71" spans="2:12" x14ac:dyDescent="0.3">
      <c r="B71" s="1">
        <v>6</v>
      </c>
      <c r="C71" s="10" t="s">
        <v>52</v>
      </c>
      <c r="D71" s="11">
        <v>1</v>
      </c>
      <c r="E71" s="1">
        <v>3600</v>
      </c>
      <c r="F71" s="1">
        <v>5.2</v>
      </c>
      <c r="G71" s="1">
        <f t="shared" ref="G71:G88" si="11">(E71*VALUE(LEFT(B71,3)*120*60*8)/(F71*14400*2.2046*36))*D71</f>
        <v>209.35247280162457</v>
      </c>
      <c r="H71" s="1"/>
      <c r="I71" s="1">
        <f>(H71*100)/G71</f>
        <v>0</v>
      </c>
      <c r="J71" s="1">
        <f>G71*0.8</f>
        <v>167.48197824129966</v>
      </c>
      <c r="K71" s="1">
        <f>G71*0.75</f>
        <v>157.01435460121843</v>
      </c>
      <c r="L71" s="1">
        <f>G71*0.7</f>
        <v>146.5467309611372</v>
      </c>
    </row>
    <row r="72" spans="2:12" x14ac:dyDescent="0.3">
      <c r="B72" s="1">
        <v>6.85</v>
      </c>
      <c r="C72" s="10" t="s">
        <v>53</v>
      </c>
      <c r="D72" s="1"/>
      <c r="E72" s="1">
        <v>3800</v>
      </c>
      <c r="F72" s="1">
        <v>5.2</v>
      </c>
      <c r="G72" s="1">
        <f t="shared" si="11"/>
        <v>0</v>
      </c>
      <c r="H72" s="1"/>
      <c r="I72" s="1" t="e">
        <f t="shared" ref="I72:I88" si="12">(H72*100)/G72</f>
        <v>#DIV/0!</v>
      </c>
      <c r="J72" s="1">
        <f>G72*0.8</f>
        <v>0</v>
      </c>
      <c r="K72" s="1">
        <f>G72*0.75</f>
        <v>0</v>
      </c>
      <c r="L72" s="1">
        <f>G72*0.7</f>
        <v>0</v>
      </c>
    </row>
    <row r="73" spans="2:12" x14ac:dyDescent="0.3">
      <c r="B73" s="1">
        <v>7</v>
      </c>
      <c r="C73" s="1" t="s">
        <v>54</v>
      </c>
      <c r="D73" s="11">
        <v>1</v>
      </c>
      <c r="E73" s="1">
        <v>3100</v>
      </c>
      <c r="F73" s="1">
        <v>5.0999999999999996</v>
      </c>
      <c r="G73" s="1">
        <f t="shared" si="11"/>
        <v>214.44565206005186</v>
      </c>
      <c r="H73" s="1"/>
      <c r="I73" s="1">
        <f t="shared" si="12"/>
        <v>0</v>
      </c>
      <c r="J73" s="1">
        <f>G73*0.8</f>
        <v>171.5565216480415</v>
      </c>
      <c r="K73" s="1">
        <f>G73*0.75</f>
        <v>160.83423904503888</v>
      </c>
      <c r="L73" s="1">
        <f>G73*0.7</f>
        <v>150.1119564420363</v>
      </c>
    </row>
    <row r="74" spans="2:12" x14ac:dyDescent="0.3">
      <c r="B74" s="1">
        <v>7.25</v>
      </c>
      <c r="C74" s="1" t="s">
        <v>55</v>
      </c>
      <c r="D74" s="11"/>
      <c r="E74" s="1">
        <v>3800</v>
      </c>
      <c r="F74" s="1">
        <v>5.05</v>
      </c>
      <c r="G74" s="1">
        <f t="shared" si="11"/>
        <v>0</v>
      </c>
      <c r="H74" s="1"/>
      <c r="I74" s="1" t="e">
        <f t="shared" si="12"/>
        <v>#DIV/0!</v>
      </c>
      <c r="J74" s="1">
        <f>G74*0.8</f>
        <v>0</v>
      </c>
      <c r="K74" s="1">
        <f>G74*0.75</f>
        <v>0</v>
      </c>
      <c r="L74" s="1">
        <f>G74*0.7</f>
        <v>0</v>
      </c>
    </row>
    <row r="75" spans="2:12" x14ac:dyDescent="0.3">
      <c r="B75" s="1">
        <v>7.7</v>
      </c>
      <c r="C75" s="1" t="s">
        <v>56</v>
      </c>
      <c r="D75" s="11">
        <v>5</v>
      </c>
      <c r="E75" s="1">
        <v>4000</v>
      </c>
      <c r="F75" s="1">
        <v>5</v>
      </c>
      <c r="G75" s="1">
        <f t="shared" si="11"/>
        <v>1552.3098168476013</v>
      </c>
      <c r="H75" s="1"/>
      <c r="I75" s="1">
        <f t="shared" si="12"/>
        <v>0</v>
      </c>
      <c r="J75" s="1">
        <f t="shared" ref="J75:J88" si="13">G75*0.8</f>
        <v>1241.8478534780811</v>
      </c>
      <c r="K75" s="1">
        <f t="shared" ref="K75:K88" si="14">G75*0.75</f>
        <v>1164.2323626357011</v>
      </c>
      <c r="L75" s="1">
        <f t="shared" ref="L75:L88" si="15">G75*0.7</f>
        <v>1086.6168717933208</v>
      </c>
    </row>
    <row r="76" spans="2:12" x14ac:dyDescent="0.3">
      <c r="B76" s="1">
        <v>8</v>
      </c>
      <c r="C76" s="1" t="s">
        <v>57</v>
      </c>
      <c r="D76" s="11">
        <v>11</v>
      </c>
      <c r="E76" s="1">
        <v>4000</v>
      </c>
      <c r="F76" s="1">
        <v>4.7699999999999996</v>
      </c>
      <c r="G76" s="1">
        <f t="shared" si="11"/>
        <v>3719.2208849298622</v>
      </c>
      <c r="H76" s="1"/>
      <c r="I76" s="1">
        <f t="shared" si="12"/>
        <v>0</v>
      </c>
      <c r="J76" s="1">
        <f t="shared" si="13"/>
        <v>2975.3767079438899</v>
      </c>
      <c r="K76" s="1">
        <f t="shared" si="14"/>
        <v>2789.4156636973967</v>
      </c>
      <c r="L76" s="1">
        <f t="shared" si="15"/>
        <v>2603.4546194509035</v>
      </c>
    </row>
    <row r="77" spans="2:12" x14ac:dyDescent="0.3">
      <c r="B77" s="1">
        <v>8</v>
      </c>
      <c r="C77" s="1" t="s">
        <v>58</v>
      </c>
      <c r="D77" s="1"/>
      <c r="E77" s="1">
        <v>4000</v>
      </c>
      <c r="F77" s="1">
        <v>4.7699999999999996</v>
      </c>
      <c r="G77" s="1">
        <f t="shared" si="11"/>
        <v>0</v>
      </c>
      <c r="H77" s="1"/>
      <c r="I77" s="1" t="e">
        <f t="shared" si="12"/>
        <v>#DIV/0!</v>
      </c>
      <c r="J77" s="1">
        <f t="shared" si="13"/>
        <v>0</v>
      </c>
      <c r="K77" s="1">
        <f t="shared" si="14"/>
        <v>0</v>
      </c>
      <c r="L77" s="1">
        <f t="shared" si="15"/>
        <v>0</v>
      </c>
    </row>
    <row r="78" spans="2:12" x14ac:dyDescent="0.3">
      <c r="B78" s="1">
        <v>8.25</v>
      </c>
      <c r="C78" s="1" t="s">
        <v>59</v>
      </c>
      <c r="D78" s="11">
        <v>4</v>
      </c>
      <c r="E78" s="1">
        <v>3200</v>
      </c>
      <c r="F78" s="1">
        <v>4.7</v>
      </c>
      <c r="G78" s="1">
        <f t="shared" si="11"/>
        <v>1125.5211272197032</v>
      </c>
      <c r="H78" s="1"/>
      <c r="I78" s="1">
        <f t="shared" si="12"/>
        <v>0</v>
      </c>
      <c r="J78" s="1">
        <f t="shared" si="13"/>
        <v>900.41690177576265</v>
      </c>
      <c r="K78" s="1">
        <f t="shared" si="14"/>
        <v>844.14084541477746</v>
      </c>
      <c r="L78" s="1">
        <f t="shared" si="15"/>
        <v>787.86478905379215</v>
      </c>
    </row>
    <row r="79" spans="2:12" x14ac:dyDescent="0.3">
      <c r="B79" s="1">
        <v>8.5</v>
      </c>
      <c r="C79" s="1" t="s">
        <v>154</v>
      </c>
      <c r="D79" s="11">
        <v>3</v>
      </c>
      <c r="E79" s="1">
        <v>3600</v>
      </c>
      <c r="F79" s="1">
        <v>4.7300000000000004</v>
      </c>
      <c r="G79" s="1">
        <f t="shared" si="11"/>
        <v>978.15848814289711</v>
      </c>
      <c r="H79" s="1"/>
      <c r="I79" s="1">
        <f t="shared" si="12"/>
        <v>0</v>
      </c>
      <c r="J79" s="1">
        <f t="shared" si="13"/>
        <v>782.52679051431778</v>
      </c>
      <c r="K79" s="1">
        <f t="shared" si="14"/>
        <v>733.61886610717283</v>
      </c>
      <c r="L79" s="1">
        <f t="shared" si="15"/>
        <v>684.71094170002789</v>
      </c>
    </row>
    <row r="80" spans="2:12" x14ac:dyDescent="0.3">
      <c r="B80" s="1">
        <v>9</v>
      </c>
      <c r="C80" s="1" t="s">
        <v>60</v>
      </c>
      <c r="D80" s="11">
        <v>1</v>
      </c>
      <c r="E80" s="1">
        <v>3600</v>
      </c>
      <c r="F80" s="1">
        <v>4.7</v>
      </c>
      <c r="G80" s="1">
        <f t="shared" si="11"/>
        <v>347.43601869205781</v>
      </c>
      <c r="H80" s="1"/>
      <c r="I80" s="1">
        <f t="shared" si="12"/>
        <v>0</v>
      </c>
      <c r="J80" s="1">
        <f t="shared" si="13"/>
        <v>277.94881495364626</v>
      </c>
      <c r="K80" s="1">
        <f t="shared" si="14"/>
        <v>260.57701401904336</v>
      </c>
      <c r="L80" s="1">
        <f t="shared" si="15"/>
        <v>243.20521308444046</v>
      </c>
    </row>
    <row r="81" spans="2:12" x14ac:dyDescent="0.3">
      <c r="B81" s="1">
        <v>9.6</v>
      </c>
      <c r="C81" s="1" t="s">
        <v>61</v>
      </c>
      <c r="D81" s="1">
        <v>3</v>
      </c>
      <c r="E81" s="1">
        <v>3600</v>
      </c>
      <c r="F81" s="1">
        <v>4.5999999999999996</v>
      </c>
      <c r="G81" s="1">
        <f t="shared" si="11"/>
        <v>1135.9647219844674</v>
      </c>
      <c r="H81" s="1"/>
      <c r="I81" s="1">
        <f t="shared" si="12"/>
        <v>0</v>
      </c>
      <c r="J81" s="1">
        <f t="shared" si="13"/>
        <v>908.77177758757398</v>
      </c>
      <c r="K81" s="1">
        <f t="shared" si="14"/>
        <v>851.97354148835052</v>
      </c>
      <c r="L81" s="1">
        <f t="shared" si="15"/>
        <v>795.17530538912706</v>
      </c>
    </row>
    <row r="82" spans="2:12" x14ac:dyDescent="0.3">
      <c r="B82" s="1">
        <v>11</v>
      </c>
      <c r="C82" s="1" t="s">
        <v>62</v>
      </c>
      <c r="D82" s="78"/>
      <c r="E82" s="1">
        <v>3800</v>
      </c>
      <c r="F82" s="1">
        <v>3.9</v>
      </c>
      <c r="G82" s="1">
        <f t="shared" si="11"/>
        <v>0</v>
      </c>
      <c r="H82" s="1"/>
      <c r="I82" s="1" t="e">
        <f t="shared" si="12"/>
        <v>#DIV/0!</v>
      </c>
      <c r="J82" s="1">
        <f t="shared" si="13"/>
        <v>0</v>
      </c>
      <c r="K82" s="1">
        <f t="shared" si="14"/>
        <v>0</v>
      </c>
      <c r="L82" s="1">
        <f t="shared" si="15"/>
        <v>0</v>
      </c>
    </row>
    <row r="83" spans="2:12" x14ac:dyDescent="0.3">
      <c r="B83" s="1">
        <v>12</v>
      </c>
      <c r="C83" s="1" t="s">
        <v>63</v>
      </c>
      <c r="D83" s="1"/>
      <c r="E83" s="1">
        <v>3800</v>
      </c>
      <c r="F83" s="1">
        <v>3.85</v>
      </c>
      <c r="G83" s="1">
        <f t="shared" si="11"/>
        <v>0</v>
      </c>
      <c r="H83" s="1"/>
      <c r="I83" s="1" t="e">
        <f t="shared" si="12"/>
        <v>#DIV/0!</v>
      </c>
      <c r="J83" s="1">
        <f t="shared" si="13"/>
        <v>0</v>
      </c>
      <c r="K83" s="1">
        <f t="shared" si="14"/>
        <v>0</v>
      </c>
      <c r="L83" s="1">
        <f t="shared" si="15"/>
        <v>0</v>
      </c>
    </row>
    <row r="84" spans="2:12" x14ac:dyDescent="0.3">
      <c r="B84" s="1">
        <v>13</v>
      </c>
      <c r="C84" s="1" t="s">
        <v>64</v>
      </c>
      <c r="D84" s="1">
        <v>8</v>
      </c>
      <c r="E84" s="1">
        <v>3700</v>
      </c>
      <c r="F84" s="1">
        <v>3.75</v>
      </c>
      <c r="G84" s="1">
        <f t="shared" si="11"/>
        <v>5171.6780737918352</v>
      </c>
      <c r="H84" s="1"/>
      <c r="I84" s="1">
        <f t="shared" si="12"/>
        <v>0</v>
      </c>
      <c r="J84" s="1">
        <f t="shared" si="13"/>
        <v>4137.342459033468</v>
      </c>
      <c r="K84" s="1">
        <f t="shared" si="14"/>
        <v>3878.7585553438767</v>
      </c>
      <c r="L84" s="1">
        <f t="shared" si="15"/>
        <v>3620.1746516542844</v>
      </c>
    </row>
    <row r="85" spans="2:12" x14ac:dyDescent="0.3">
      <c r="B85" s="1">
        <v>14</v>
      </c>
      <c r="C85" s="1" t="s">
        <v>65</v>
      </c>
      <c r="D85" s="11">
        <v>3</v>
      </c>
      <c r="E85" s="1">
        <v>3600</v>
      </c>
      <c r="F85" s="1">
        <v>3.65</v>
      </c>
      <c r="G85" s="1">
        <f t="shared" si="11"/>
        <v>2087.7890438298996</v>
      </c>
      <c r="H85" s="1"/>
      <c r="I85" s="1">
        <f t="shared" si="12"/>
        <v>0</v>
      </c>
      <c r="J85" s="1">
        <f t="shared" si="13"/>
        <v>1670.2312350639197</v>
      </c>
      <c r="K85" s="1">
        <f t="shared" si="14"/>
        <v>1565.8417828724246</v>
      </c>
      <c r="L85" s="1">
        <f t="shared" si="15"/>
        <v>1461.4523306809297</v>
      </c>
    </row>
    <row r="86" spans="2:12" x14ac:dyDescent="0.3">
      <c r="B86" s="1">
        <v>10</v>
      </c>
      <c r="C86" s="1" t="s">
        <v>66</v>
      </c>
      <c r="D86" s="1"/>
      <c r="E86" s="1">
        <v>3800</v>
      </c>
      <c r="F86" s="1">
        <v>4.0999999999999996</v>
      </c>
      <c r="G86" s="1">
        <f t="shared" si="11"/>
        <v>0</v>
      </c>
      <c r="H86" s="1"/>
      <c r="I86" s="1" t="e">
        <f t="shared" si="12"/>
        <v>#DIV/0!</v>
      </c>
      <c r="J86" s="1">
        <f t="shared" si="13"/>
        <v>0</v>
      </c>
      <c r="K86" s="1">
        <f t="shared" si="14"/>
        <v>0</v>
      </c>
      <c r="L86" s="1">
        <f t="shared" si="15"/>
        <v>0</v>
      </c>
    </row>
    <row r="87" spans="2:12" x14ac:dyDescent="0.3">
      <c r="B87" s="1">
        <v>10.5</v>
      </c>
      <c r="C87" s="1" t="s">
        <v>67</v>
      </c>
      <c r="D87" s="1"/>
      <c r="E87" s="1">
        <v>3800</v>
      </c>
      <c r="F87" s="1">
        <v>3.95</v>
      </c>
      <c r="G87" s="1">
        <f t="shared" si="11"/>
        <v>0</v>
      </c>
      <c r="H87" s="1"/>
      <c r="I87" s="1" t="e">
        <f t="shared" si="12"/>
        <v>#DIV/0!</v>
      </c>
      <c r="J87" s="1">
        <f t="shared" si="13"/>
        <v>0</v>
      </c>
      <c r="K87" s="1">
        <f t="shared" si="14"/>
        <v>0</v>
      </c>
      <c r="L87" s="1">
        <f t="shared" si="15"/>
        <v>0</v>
      </c>
    </row>
    <row r="88" spans="2:12" x14ac:dyDescent="0.3">
      <c r="B88" s="1">
        <v>14</v>
      </c>
      <c r="C88" s="1" t="s">
        <v>68</v>
      </c>
      <c r="D88" s="1"/>
      <c r="E88" s="1">
        <v>3700</v>
      </c>
      <c r="F88" s="1">
        <v>3.65</v>
      </c>
      <c r="G88" s="1">
        <f t="shared" si="11"/>
        <v>0</v>
      </c>
      <c r="H88" s="1"/>
      <c r="I88" s="1" t="e">
        <f t="shared" si="12"/>
        <v>#DIV/0!</v>
      </c>
      <c r="J88" s="1">
        <f t="shared" si="13"/>
        <v>0</v>
      </c>
      <c r="K88" s="1">
        <f t="shared" si="14"/>
        <v>0</v>
      </c>
      <c r="L88" s="1">
        <f t="shared" si="15"/>
        <v>0</v>
      </c>
    </row>
    <row r="89" spans="2:12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2:12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2:12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2:12" x14ac:dyDescent="0.3">
      <c r="B92" s="1"/>
      <c r="C92" s="1"/>
      <c r="D92" s="1"/>
      <c r="E92" s="1"/>
      <c r="F92" s="1"/>
      <c r="G92" s="1"/>
      <c r="H92" s="1"/>
      <c r="I92" s="1" t="e">
        <f t="shared" ref="I92" si="16">(H92*100)/G92</f>
        <v>#DIV/0!</v>
      </c>
      <c r="J92" s="1"/>
      <c r="K92" s="1"/>
      <c r="L92" s="1"/>
    </row>
    <row r="93" spans="2:12" x14ac:dyDescent="0.3">
      <c r="B93" s="1">
        <f>SUMPRODUCT(B71:B88,D71:D88)/SUM(D71:D88)</f>
        <v>9.5449999999999999</v>
      </c>
      <c r="C93" s="1"/>
      <c r="D93" s="1">
        <f>SUM(D71:D92)</f>
        <v>40</v>
      </c>
      <c r="E93" s="1">
        <f>AVERAGE(E71:E92)</f>
        <v>3694.4444444444443</v>
      </c>
      <c r="F93" s="1">
        <f>AVERAGE(F71:F92)</f>
        <v>4.4816666666666682</v>
      </c>
      <c r="G93" s="1">
        <f>SUM(G71:G92)</f>
        <v>16541.876300299999</v>
      </c>
      <c r="H93" s="1">
        <f>SUM(H71:H92)</f>
        <v>0</v>
      </c>
      <c r="I93" s="1">
        <f>AVERAGEIF(I71:I92,"&lt;&gt;#DIV/0!")</f>
        <v>0</v>
      </c>
      <c r="J93" s="2">
        <f>SUM(J71:J92)</f>
        <v>13233.501040240002</v>
      </c>
      <c r="K93" s="1">
        <f>SUM(K71:K92)</f>
        <v>12406.407225225003</v>
      </c>
      <c r="L93" s="1">
        <f>SUM(L71:L92)</f>
        <v>11579.313410209999</v>
      </c>
    </row>
    <row r="96" spans="2:12" x14ac:dyDescent="0.3">
      <c r="C96" s="2" t="s">
        <v>69</v>
      </c>
      <c r="D96" s="2" t="s">
        <v>51</v>
      </c>
    </row>
    <row r="97" spans="3:4" x14ac:dyDescent="0.3">
      <c r="C97" s="1">
        <v>11802</v>
      </c>
      <c r="D97" s="12">
        <f>C97/G93</f>
        <v>0.71346199099469521</v>
      </c>
    </row>
  </sheetData>
  <mergeCells count="6">
    <mergeCell ref="C68:J68"/>
    <mergeCell ref="C1:J1"/>
    <mergeCell ref="C2:J2"/>
    <mergeCell ref="C34:J34"/>
    <mergeCell ref="C35:J35"/>
    <mergeCell ref="C67:J6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B3A2-4FBA-424D-A4C4-00C9BA304C57}">
  <sheetPr codeName="Sheet7"/>
  <dimension ref="A1:N27"/>
  <sheetViews>
    <sheetView topLeftCell="A22" workbookViewId="0">
      <selection activeCell="M35" sqref="M35"/>
    </sheetView>
  </sheetViews>
  <sheetFormatPr defaultColWidth="9.109375" defaultRowHeight="15.6" x14ac:dyDescent="0.3"/>
  <cols>
    <col min="1" max="1" width="9.109375" style="13"/>
    <col min="2" max="2" width="14.109375" style="14" hidden="1" customWidth="1"/>
    <col min="3" max="3" width="7.44140625" style="13" hidden="1" customWidth="1"/>
    <col min="4" max="4" width="19.5546875" style="13" hidden="1" customWidth="1"/>
    <col min="5" max="5" width="20.44140625" style="13" hidden="1" customWidth="1"/>
    <col min="6" max="6" width="9.109375" style="13"/>
    <col min="7" max="7" width="14.44140625" style="13" customWidth="1"/>
    <col min="8" max="8" width="13.33203125" style="13" customWidth="1"/>
    <col min="9" max="9" width="13.6640625" style="13" customWidth="1"/>
    <col min="10" max="10" width="9.5546875" style="13" customWidth="1"/>
    <col min="11" max="11" width="21.109375" style="13" customWidth="1"/>
    <col min="12" max="12" width="15.6640625" style="13" customWidth="1"/>
    <col min="13" max="13" width="14.44140625" style="13" customWidth="1"/>
    <col min="14" max="14" width="14.33203125" style="13" customWidth="1"/>
    <col min="15" max="15" width="9.109375" style="13"/>
    <col min="16" max="16" width="29.6640625" style="13" customWidth="1"/>
    <col min="17" max="16384" width="9.109375" style="13"/>
  </cols>
  <sheetData>
    <row r="1" spans="1:14" ht="16.2" thickBot="1" x14ac:dyDescent="0.35"/>
    <row r="2" spans="1:14" ht="16.2" thickBot="1" x14ac:dyDescent="0.35">
      <c r="F2" s="15" t="s">
        <v>38</v>
      </c>
      <c r="G2" s="16">
        <v>45575</v>
      </c>
      <c r="K2" s="17" t="s">
        <v>70</v>
      </c>
      <c r="L2" s="18" t="s">
        <v>15</v>
      </c>
      <c r="M2" s="19" t="s">
        <v>29</v>
      </c>
      <c r="N2" s="20" t="s">
        <v>32</v>
      </c>
    </row>
    <row r="3" spans="1:14" x14ac:dyDescent="0.3">
      <c r="F3" s="21" t="s">
        <v>27</v>
      </c>
      <c r="G3" s="22" t="s">
        <v>15</v>
      </c>
      <c r="H3" s="19" t="s">
        <v>29</v>
      </c>
      <c r="I3" s="20" t="s">
        <v>32</v>
      </c>
      <c r="K3" s="23" t="s">
        <v>71</v>
      </c>
      <c r="L3" s="24">
        <f>prod!G27</f>
        <v>16599.738545234592</v>
      </c>
      <c r="M3" s="25">
        <f>prod!G60</f>
        <v>16330.020961775066</v>
      </c>
      <c r="N3" s="26">
        <f>prod!G93</f>
        <v>16541.876300299999</v>
      </c>
    </row>
    <row r="4" spans="1:14" ht="16.2" thickBot="1" x14ac:dyDescent="0.35">
      <c r="F4" s="27" t="s">
        <v>72</v>
      </c>
      <c r="G4" s="28" t="s">
        <v>74</v>
      </c>
      <c r="H4" s="29" t="s">
        <v>75</v>
      </c>
      <c r="I4" s="30" t="s">
        <v>73</v>
      </c>
      <c r="K4" s="23" t="s">
        <v>76</v>
      </c>
      <c r="L4" s="24">
        <f>prod!J27</f>
        <v>13279.790836187678</v>
      </c>
      <c r="M4" s="25">
        <f>prod!J60</f>
        <v>13064.016769420055</v>
      </c>
      <c r="N4" s="26">
        <f>prod!J93</f>
        <v>13233.501040240002</v>
      </c>
    </row>
    <row r="5" spans="1:14" ht="16.2" thickBot="1" x14ac:dyDescent="0.35">
      <c r="F5" s="13" t="s">
        <v>77</v>
      </c>
      <c r="K5" s="23" t="s">
        <v>78</v>
      </c>
      <c r="L5" s="24">
        <f>prod!C31</f>
        <v>12025</v>
      </c>
      <c r="M5" s="25">
        <f>prod!C64</f>
        <v>12125</v>
      </c>
      <c r="N5" s="26">
        <f>prod!C97</f>
        <v>11802</v>
      </c>
    </row>
    <row r="6" spans="1:14" x14ac:dyDescent="0.3">
      <c r="F6" s="31" t="s">
        <v>79</v>
      </c>
      <c r="G6" s="18" t="s">
        <v>80</v>
      </c>
      <c r="H6" s="19" t="s">
        <v>81</v>
      </c>
      <c r="I6" s="20" t="s">
        <v>119</v>
      </c>
      <c r="K6" s="23" t="s">
        <v>82</v>
      </c>
      <c r="L6" s="32">
        <f>prod!D31</f>
        <v>0.72440900001115405</v>
      </c>
      <c r="M6" s="33">
        <f>prod!D64</f>
        <v>0.74249751597881708</v>
      </c>
      <c r="N6" s="34">
        <f>prod!D97</f>
        <v>0.71346199099469521</v>
      </c>
    </row>
    <row r="7" spans="1:14" x14ac:dyDescent="0.3">
      <c r="F7" s="35" t="s">
        <v>83</v>
      </c>
      <c r="G7" s="36" t="s">
        <v>84</v>
      </c>
      <c r="H7" s="37" t="s">
        <v>85</v>
      </c>
      <c r="I7" s="38" t="s">
        <v>73</v>
      </c>
      <c r="K7" s="23" t="s">
        <v>86</v>
      </c>
      <c r="L7" s="39">
        <f>AVERAGE(H13:H17)</f>
        <v>10.677750000000001</v>
      </c>
      <c r="M7" s="40">
        <f>AVERAGE(H18:H22)</f>
        <v>9.1446493506493507</v>
      </c>
      <c r="N7" s="41">
        <f>AVERAGE(H23:H27)</f>
        <v>12.122014718614718</v>
      </c>
    </row>
    <row r="8" spans="1:14" x14ac:dyDescent="0.3">
      <c r="F8" s="35" t="s">
        <v>87</v>
      </c>
      <c r="G8" s="36" t="s">
        <v>89</v>
      </c>
      <c r="H8" s="37" t="s">
        <v>90</v>
      </c>
      <c r="I8" s="38" t="s">
        <v>88</v>
      </c>
      <c r="K8" s="23" t="s">
        <v>91</v>
      </c>
      <c r="L8" s="39">
        <f>AVERAGE(I13:I17)</f>
        <v>5.871666666666667</v>
      </c>
      <c r="M8" s="40">
        <f>AVERAGE(I18:I22)</f>
        <v>5.3039329004329003</v>
      </c>
      <c r="N8" s="41">
        <f>AVERAGE(I23:I27)</f>
        <v>5.9847575757575751</v>
      </c>
    </row>
    <row r="9" spans="1:14" ht="16.2" thickBot="1" x14ac:dyDescent="0.35">
      <c r="F9" s="35" t="s">
        <v>92</v>
      </c>
      <c r="G9" s="36" t="s">
        <v>93</v>
      </c>
      <c r="H9" s="37" t="s">
        <v>94</v>
      </c>
      <c r="I9" s="38" t="s">
        <v>120</v>
      </c>
      <c r="K9" s="27" t="s">
        <v>95</v>
      </c>
      <c r="L9" s="42">
        <f>SUM(J13:J17)</f>
        <v>348</v>
      </c>
      <c r="M9" s="43">
        <f>SUM(J18:J22)</f>
        <v>342</v>
      </c>
      <c r="N9" s="44">
        <f>SUM(J23:J27)</f>
        <v>330</v>
      </c>
    </row>
    <row r="10" spans="1:14" ht="16.2" thickBot="1" x14ac:dyDescent="0.35">
      <c r="F10" s="45" t="s">
        <v>96</v>
      </c>
      <c r="G10" s="28" t="s">
        <v>97</v>
      </c>
      <c r="H10" s="29" t="s">
        <v>98</v>
      </c>
      <c r="I10" s="30" t="s">
        <v>75</v>
      </c>
    </row>
    <row r="12" spans="1:14" ht="16.2" thickBot="1" x14ac:dyDescent="0.35">
      <c r="B12" s="14" t="s">
        <v>99</v>
      </c>
      <c r="C12" s="13" t="s">
        <v>100</v>
      </c>
      <c r="D12" s="13" t="s">
        <v>72</v>
      </c>
      <c r="E12" s="13" t="s">
        <v>101</v>
      </c>
      <c r="F12" s="46"/>
      <c r="G12" s="46" t="s">
        <v>102</v>
      </c>
      <c r="H12" s="46" t="s">
        <v>86</v>
      </c>
      <c r="I12" s="46" t="s">
        <v>103</v>
      </c>
      <c r="J12" s="46" t="s">
        <v>104</v>
      </c>
    </row>
    <row r="13" spans="1:14" x14ac:dyDescent="0.3">
      <c r="A13" s="47" t="str">
        <f>F13</f>
        <v>(01-08)</v>
      </c>
      <c r="B13" s="48">
        <f t="shared" ref="B13:B27" si="0">$G$2</f>
        <v>45575</v>
      </c>
      <c r="C13" s="49" t="str">
        <f>$G$3</f>
        <v>R/A</v>
      </c>
      <c r="D13" s="49" t="str">
        <f>$G$4</f>
        <v>Shohidul</v>
      </c>
      <c r="E13" s="49" t="str">
        <f>G6</f>
        <v>Akash</v>
      </c>
      <c r="F13" s="31" t="s">
        <v>79</v>
      </c>
      <c r="G13" s="39">
        <v>68.904285714285706</v>
      </c>
      <c r="H13" s="39">
        <v>6.2700000000000005</v>
      </c>
      <c r="I13" s="39">
        <v>7.8999999999999995</v>
      </c>
      <c r="J13" s="39">
        <v>96</v>
      </c>
    </row>
    <row r="14" spans="1:14" x14ac:dyDescent="0.3">
      <c r="A14" s="47" t="str">
        <f t="shared" ref="A14:A27" si="1">F14</f>
        <v>(09-16)</v>
      </c>
      <c r="B14" s="48">
        <f t="shared" si="0"/>
        <v>45575</v>
      </c>
      <c r="C14" s="49" t="str">
        <f>$G$3</f>
        <v>R/A</v>
      </c>
      <c r="D14" s="49" t="str">
        <f>$G$4</f>
        <v>Shohidul</v>
      </c>
      <c r="E14" s="49" t="str">
        <f>G7</f>
        <v>Torikul</v>
      </c>
      <c r="F14" s="35" t="s">
        <v>83</v>
      </c>
      <c r="G14" s="39">
        <v>69.316666666666663</v>
      </c>
      <c r="H14" s="39">
        <v>9.1</v>
      </c>
      <c r="I14" s="39">
        <v>4.3</v>
      </c>
      <c r="J14" s="39">
        <v>78</v>
      </c>
    </row>
    <row r="15" spans="1:14" x14ac:dyDescent="0.3">
      <c r="A15" s="47" t="str">
        <f t="shared" si="1"/>
        <v>(17-24)</v>
      </c>
      <c r="B15" s="48">
        <f t="shared" si="0"/>
        <v>45575</v>
      </c>
      <c r="C15" s="49" t="str">
        <f>$G$3</f>
        <v>R/A</v>
      </c>
      <c r="D15" s="49" t="str">
        <f>$G$4</f>
        <v>Shohidul</v>
      </c>
      <c r="E15" s="49" t="str">
        <f>G8</f>
        <v>Farhad</v>
      </c>
      <c r="F15" s="35" t="s">
        <v>87</v>
      </c>
      <c r="G15" s="39">
        <v>68.342500000000001</v>
      </c>
      <c r="H15" s="39">
        <v>21.07375</v>
      </c>
      <c r="I15" s="39">
        <v>6.1999999999999993</v>
      </c>
      <c r="J15" s="39">
        <v>46</v>
      </c>
    </row>
    <row r="16" spans="1:14" x14ac:dyDescent="0.3">
      <c r="A16" s="47" t="str">
        <f t="shared" si="1"/>
        <v>(25-32)</v>
      </c>
      <c r="B16" s="48">
        <f t="shared" si="0"/>
        <v>45575</v>
      </c>
      <c r="C16" s="49" t="str">
        <f>$G$3</f>
        <v>R/A</v>
      </c>
      <c r="D16" s="49" t="str">
        <f>$G$4</f>
        <v>Shohidul</v>
      </c>
      <c r="E16" s="49" t="str">
        <f>G9</f>
        <v>Rabbani</v>
      </c>
      <c r="F16" s="35" t="s">
        <v>92</v>
      </c>
      <c r="G16" s="39">
        <v>76.490000000000009</v>
      </c>
      <c r="H16" s="39">
        <v>7.5500000000000007</v>
      </c>
      <c r="I16" s="39">
        <v>5.2833333333333341</v>
      </c>
      <c r="J16" s="39">
        <v>37</v>
      </c>
    </row>
    <row r="17" spans="1:10" ht="16.2" thickBot="1" x14ac:dyDescent="0.35">
      <c r="A17" s="47" t="str">
        <f t="shared" si="1"/>
        <v>(33-44)</v>
      </c>
      <c r="B17" s="48">
        <f t="shared" si="0"/>
        <v>45575</v>
      </c>
      <c r="C17" s="49" t="str">
        <f>$G$3</f>
        <v>R/A</v>
      </c>
      <c r="D17" s="49" t="str">
        <f>$G$4</f>
        <v>Shohidul</v>
      </c>
      <c r="E17" s="49" t="str">
        <f>G10</f>
        <v>Riazul</v>
      </c>
      <c r="F17" s="45" t="s">
        <v>96</v>
      </c>
      <c r="G17" s="39">
        <v>68.380833333333328</v>
      </c>
      <c r="H17" s="39">
        <v>9.3950000000000014</v>
      </c>
      <c r="I17" s="39">
        <v>5.6749999999999998</v>
      </c>
      <c r="J17" s="39">
        <v>91</v>
      </c>
    </row>
    <row r="18" spans="1:10" x14ac:dyDescent="0.3">
      <c r="A18" s="50" t="str">
        <f t="shared" si="1"/>
        <v>(01-08)</v>
      </c>
      <c r="B18" s="51">
        <f t="shared" si="0"/>
        <v>45575</v>
      </c>
      <c r="C18" s="52" t="str">
        <f>$H$3</f>
        <v>R/B</v>
      </c>
      <c r="D18" s="52" t="str">
        <f>$H$4</f>
        <v>Sujon</v>
      </c>
      <c r="E18" s="52" t="str">
        <f>H6</f>
        <v>Emdadul</v>
      </c>
      <c r="F18" s="31" t="s">
        <v>79</v>
      </c>
      <c r="G18" s="40">
        <v>67.855714285714285</v>
      </c>
      <c r="H18" s="40">
        <v>8.4414285714285722</v>
      </c>
      <c r="I18" s="40">
        <v>9.2142857142857135</v>
      </c>
      <c r="J18" s="40">
        <v>76</v>
      </c>
    </row>
    <row r="19" spans="1:10" x14ac:dyDescent="0.3">
      <c r="A19" s="50" t="str">
        <f t="shared" si="1"/>
        <v>(09-16)</v>
      </c>
      <c r="B19" s="51">
        <f t="shared" si="0"/>
        <v>45575</v>
      </c>
      <c r="C19" s="52" t="str">
        <f>$H$3</f>
        <v>R/B</v>
      </c>
      <c r="D19" s="52" t="str">
        <f>$H$4</f>
        <v>Sujon</v>
      </c>
      <c r="E19" s="52" t="str">
        <f>H7</f>
        <v>mamun</v>
      </c>
      <c r="F19" s="35" t="s">
        <v>83</v>
      </c>
      <c r="G19" s="40">
        <v>65.626666666666665</v>
      </c>
      <c r="H19" s="40">
        <v>8.32</v>
      </c>
      <c r="I19" s="40">
        <v>5.583333333333333</v>
      </c>
      <c r="J19" s="40">
        <v>82</v>
      </c>
    </row>
    <row r="20" spans="1:10" x14ac:dyDescent="0.3">
      <c r="A20" s="50" t="str">
        <f t="shared" si="1"/>
        <v>(17-24)</v>
      </c>
      <c r="B20" s="51">
        <f t="shared" si="0"/>
        <v>45575</v>
      </c>
      <c r="C20" s="52" t="str">
        <f>$H$3</f>
        <v>R/B</v>
      </c>
      <c r="D20" s="52" t="str">
        <f>$H$4</f>
        <v>Sujon</v>
      </c>
      <c r="E20" s="52" t="str">
        <f>H8</f>
        <v>Sabbir</v>
      </c>
      <c r="F20" s="35" t="s">
        <v>87</v>
      </c>
      <c r="G20" s="40">
        <v>80.007500000000022</v>
      </c>
      <c r="H20" s="40">
        <v>8.43</v>
      </c>
      <c r="I20" s="40">
        <v>3.4874999999999998</v>
      </c>
      <c r="J20" s="40">
        <v>60</v>
      </c>
    </row>
    <row r="21" spans="1:10" x14ac:dyDescent="0.3">
      <c r="A21" s="50" t="str">
        <f t="shared" si="1"/>
        <v>(25-32)</v>
      </c>
      <c r="B21" s="51">
        <f t="shared" si="0"/>
        <v>45575</v>
      </c>
      <c r="C21" s="52" t="str">
        <f>$H$3</f>
        <v>R/B</v>
      </c>
      <c r="D21" s="52" t="str">
        <f>$H$4</f>
        <v>Sujon</v>
      </c>
      <c r="E21" s="52" t="str">
        <f>H9</f>
        <v>nayon</v>
      </c>
      <c r="F21" s="35" t="s">
        <v>92</v>
      </c>
      <c r="G21" s="40">
        <v>69.045999999999992</v>
      </c>
      <c r="H21" s="40">
        <v>13.89</v>
      </c>
      <c r="I21" s="40">
        <v>3.4799999999999995</v>
      </c>
      <c r="J21" s="40">
        <v>39</v>
      </c>
    </row>
    <row r="22" spans="1:10" ht="16.2" thickBot="1" x14ac:dyDescent="0.35">
      <c r="A22" s="50" t="str">
        <f t="shared" si="1"/>
        <v>(33-44)</v>
      </c>
      <c r="B22" s="51">
        <f t="shared" si="0"/>
        <v>45575</v>
      </c>
      <c r="C22" s="52" t="str">
        <f>$H$3</f>
        <v>R/B</v>
      </c>
      <c r="D22" s="52" t="str">
        <f>$H$4</f>
        <v>Sujon</v>
      </c>
      <c r="E22" s="52" t="str">
        <f>H10</f>
        <v>shihab</v>
      </c>
      <c r="F22" s="45" t="s">
        <v>96</v>
      </c>
      <c r="G22" s="40">
        <v>76.086363636363643</v>
      </c>
      <c r="H22" s="40">
        <v>6.6418181818181816</v>
      </c>
      <c r="I22" s="40">
        <v>4.754545454545454</v>
      </c>
      <c r="J22" s="40">
        <v>85</v>
      </c>
    </row>
    <row r="23" spans="1:10" x14ac:dyDescent="0.3">
      <c r="A23" s="53" t="str">
        <f t="shared" si="1"/>
        <v>(01-08)</v>
      </c>
      <c r="B23" s="54">
        <f t="shared" si="0"/>
        <v>45575</v>
      </c>
      <c r="C23" s="55" t="str">
        <f>$I$3</f>
        <v>R/C</v>
      </c>
      <c r="D23" s="55" t="str">
        <f>$I$4</f>
        <v>Alamin</v>
      </c>
      <c r="E23" s="55" t="str">
        <f>I6</f>
        <v>Alauddin</v>
      </c>
      <c r="F23" s="31" t="s">
        <v>79</v>
      </c>
      <c r="G23" s="56">
        <v>70.540000000000006</v>
      </c>
      <c r="H23" s="56">
        <v>14.934285714285712</v>
      </c>
      <c r="I23" s="56">
        <v>3.4</v>
      </c>
      <c r="J23" s="56">
        <v>77</v>
      </c>
    </row>
    <row r="24" spans="1:10" x14ac:dyDescent="0.3">
      <c r="A24" s="53" t="str">
        <f t="shared" si="1"/>
        <v>(09-16)</v>
      </c>
      <c r="B24" s="54">
        <f t="shared" si="0"/>
        <v>45575</v>
      </c>
      <c r="C24" s="55" t="str">
        <f t="shared" ref="C24:C27" si="2">$I$3</f>
        <v>R/C</v>
      </c>
      <c r="D24" s="55" t="str">
        <f t="shared" ref="D24:D27" si="3">$I$4</f>
        <v>Alamin</v>
      </c>
      <c r="E24" s="55" t="str">
        <f t="shared" ref="E24:E27" si="4">I7</f>
        <v>Alamin</v>
      </c>
      <c r="F24" s="35" t="s">
        <v>83</v>
      </c>
      <c r="G24" s="56">
        <v>64.536666666666676</v>
      </c>
      <c r="H24" s="56">
        <v>10.483333333333333</v>
      </c>
      <c r="I24" s="56">
        <v>4.1333333333333337</v>
      </c>
      <c r="J24" s="56">
        <v>80</v>
      </c>
    </row>
    <row r="25" spans="1:10" x14ac:dyDescent="0.3">
      <c r="A25" s="53" t="str">
        <f t="shared" si="1"/>
        <v>(17-24)</v>
      </c>
      <c r="B25" s="54">
        <f t="shared" si="0"/>
        <v>45575</v>
      </c>
      <c r="C25" s="55" t="str">
        <f t="shared" si="2"/>
        <v>R/C</v>
      </c>
      <c r="D25" s="55" t="str">
        <f t="shared" si="3"/>
        <v>Alamin</v>
      </c>
      <c r="E25" s="55" t="str">
        <f t="shared" si="4"/>
        <v>Tamim</v>
      </c>
      <c r="F25" s="35" t="s">
        <v>87</v>
      </c>
      <c r="G25" s="56">
        <v>73.197499999999991</v>
      </c>
      <c r="H25" s="56">
        <v>10.015000000000002</v>
      </c>
      <c r="I25" s="56">
        <v>7.625</v>
      </c>
      <c r="J25" s="56">
        <v>49</v>
      </c>
    </row>
    <row r="26" spans="1:10" x14ac:dyDescent="0.3">
      <c r="A26" s="53" t="str">
        <f t="shared" si="1"/>
        <v>(25-32)</v>
      </c>
      <c r="B26" s="54">
        <f t="shared" si="0"/>
        <v>45575</v>
      </c>
      <c r="C26" s="55" t="str">
        <f t="shared" si="2"/>
        <v>R/C</v>
      </c>
      <c r="D26" s="55" t="str">
        <f t="shared" si="3"/>
        <v>Alamin</v>
      </c>
      <c r="E26" s="55" t="str">
        <f t="shared" si="4"/>
        <v>Sajib</v>
      </c>
      <c r="F26" s="35" t="s">
        <v>92</v>
      </c>
      <c r="G26" s="56">
        <v>70.082000000000008</v>
      </c>
      <c r="H26" s="56">
        <v>11.712</v>
      </c>
      <c r="I26" s="56">
        <v>5.0199999999999996</v>
      </c>
      <c r="J26" s="56">
        <v>38</v>
      </c>
    </row>
    <row r="27" spans="1:10" ht="16.2" thickBot="1" x14ac:dyDescent="0.35">
      <c r="A27" s="53" t="str">
        <f t="shared" si="1"/>
        <v>(33-44)</v>
      </c>
      <c r="B27" s="54">
        <f t="shared" si="0"/>
        <v>45575</v>
      </c>
      <c r="C27" s="55" t="str">
        <f t="shared" si="2"/>
        <v>R/C</v>
      </c>
      <c r="D27" s="55" t="str">
        <f t="shared" si="3"/>
        <v>Alamin</v>
      </c>
      <c r="E27" s="55" t="str">
        <f t="shared" si="4"/>
        <v>Sujon</v>
      </c>
      <c r="F27" s="45" t="s">
        <v>96</v>
      </c>
      <c r="G27" s="56">
        <v>62.857272727272722</v>
      </c>
      <c r="H27" s="56">
        <v>13.465454545454547</v>
      </c>
      <c r="I27" s="56">
        <v>9.7454545454545443</v>
      </c>
      <c r="J27" s="56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4557-F07D-40B7-B32F-741A6E5BE3C2}">
  <sheetPr codeName="Sheet8"/>
  <dimension ref="A3:H126"/>
  <sheetViews>
    <sheetView showGridLines="0" showRowColHeaders="0" showWhiteSpace="0" view="pageLayout" topLeftCell="A22" zoomScaleNormal="100" workbookViewId="0">
      <selection activeCell="K125" sqref="K125"/>
    </sheetView>
  </sheetViews>
  <sheetFormatPr defaultColWidth="8.88671875" defaultRowHeight="13.8" x14ac:dyDescent="0.25"/>
  <cols>
    <col min="1" max="1" width="8.44140625" style="62" customWidth="1"/>
    <col min="2" max="2" width="11.5546875" style="62" customWidth="1"/>
    <col min="3" max="3" width="14.109375" style="62" customWidth="1"/>
    <col min="4" max="4" width="11.88671875" style="62" customWidth="1"/>
    <col min="5" max="5" width="10.33203125" style="62" customWidth="1"/>
    <col min="6" max="6" width="11.5546875" style="62" customWidth="1"/>
    <col min="7" max="7" width="12.109375" style="62" customWidth="1"/>
    <col min="8" max="8" width="10.44140625" style="62" customWidth="1"/>
    <col min="9" max="9" width="14.88671875" style="62" customWidth="1"/>
    <col min="10" max="16384" width="8.88671875" style="62"/>
  </cols>
  <sheetData>
    <row r="3" spans="1:7" s="57" customFormat="1" ht="18" x14ac:dyDescent="0.35">
      <c r="A3" s="57" t="s">
        <v>105</v>
      </c>
      <c r="B3" s="57" t="s">
        <v>106</v>
      </c>
      <c r="D3" s="58" t="s">
        <v>107</v>
      </c>
      <c r="E3" s="57" t="str">
        <f>input!G3</f>
        <v>R/A</v>
      </c>
      <c r="F3" s="58" t="s">
        <v>108</v>
      </c>
      <c r="G3" s="59">
        <f>input!G2</f>
        <v>45575</v>
      </c>
    </row>
    <row r="6" spans="1:7" ht="18" x14ac:dyDescent="0.3">
      <c r="A6" s="60" t="s">
        <v>109</v>
      </c>
      <c r="B6" s="61" t="str">
        <f>input!G4</f>
        <v>Shohidul</v>
      </c>
    </row>
    <row r="8" spans="1:7" s="63" customFormat="1" ht="15.6" x14ac:dyDescent="0.3">
      <c r="A8" s="63">
        <v>1</v>
      </c>
      <c r="B8" s="63" t="s">
        <v>110</v>
      </c>
      <c r="C8" s="63" t="str">
        <f>input!G6</f>
        <v>Akash</v>
      </c>
      <c r="E8" s="64" t="s">
        <v>111</v>
      </c>
      <c r="F8" s="65" t="str">
        <f>input!F6</f>
        <v>(01-08)</v>
      </c>
    </row>
    <row r="10" spans="1:7" s="66" customFormat="1" ht="20.85" customHeight="1" x14ac:dyDescent="0.3">
      <c r="C10" s="67" t="s">
        <v>102</v>
      </c>
      <c r="D10" s="67" t="s">
        <v>86</v>
      </c>
      <c r="E10" s="67" t="s">
        <v>103</v>
      </c>
      <c r="F10" s="67" t="s">
        <v>95</v>
      </c>
    </row>
    <row r="11" spans="1:7" ht="20.85" customHeight="1" x14ac:dyDescent="0.3">
      <c r="C11" s="68">
        <f>input!G13</f>
        <v>68.904285714285706</v>
      </c>
      <c r="D11" s="69">
        <f>input!H13</f>
        <v>6.2700000000000005</v>
      </c>
      <c r="E11" s="70">
        <f>input!I13</f>
        <v>7.8999999999999995</v>
      </c>
      <c r="F11" s="67">
        <f>input!J13</f>
        <v>96</v>
      </c>
      <c r="G11" s="71"/>
    </row>
    <row r="14" spans="1:7" ht="15.6" x14ac:dyDescent="0.3">
      <c r="A14" s="63">
        <v>2</v>
      </c>
      <c r="B14" s="63" t="s">
        <v>110</v>
      </c>
      <c r="C14" s="63" t="str">
        <f>input!G7</f>
        <v>Torikul</v>
      </c>
      <c r="E14" s="64" t="s">
        <v>111</v>
      </c>
      <c r="F14" s="65" t="str">
        <f>input!F7</f>
        <v>(09-16)</v>
      </c>
      <c r="G14" s="63"/>
    </row>
    <row r="16" spans="1:7" ht="15.6" x14ac:dyDescent="0.25">
      <c r="A16" s="66"/>
      <c r="B16" s="66"/>
      <c r="C16" s="67" t="s">
        <v>102</v>
      </c>
      <c r="D16" s="67" t="s">
        <v>86</v>
      </c>
      <c r="E16" s="67" t="s">
        <v>103</v>
      </c>
      <c r="F16" s="67" t="s">
        <v>95</v>
      </c>
      <c r="G16" s="66"/>
    </row>
    <row r="17" spans="1:7" ht="15.6" x14ac:dyDescent="0.3">
      <c r="C17" s="68">
        <f>input!G14</f>
        <v>69.316666666666663</v>
      </c>
      <c r="D17" s="68">
        <f>input!H14</f>
        <v>9.1</v>
      </c>
      <c r="E17" s="72">
        <f>input!I14</f>
        <v>4.3</v>
      </c>
      <c r="F17" s="68">
        <f>input!J14</f>
        <v>78</v>
      </c>
      <c r="G17" s="71"/>
    </row>
    <row r="19" spans="1:7" ht="15.6" x14ac:dyDescent="0.3">
      <c r="A19" s="63">
        <v>3</v>
      </c>
      <c r="B19" s="63" t="s">
        <v>110</v>
      </c>
      <c r="C19" s="63" t="str">
        <f>input!G8</f>
        <v>Farhad</v>
      </c>
      <c r="E19" s="64" t="s">
        <v>111</v>
      </c>
      <c r="F19" s="65" t="str">
        <f>input!F8</f>
        <v>(17-24)</v>
      </c>
      <c r="G19" s="63"/>
    </row>
    <row r="21" spans="1:7" ht="15.6" x14ac:dyDescent="0.25">
      <c r="A21" s="66"/>
      <c r="B21" s="66"/>
      <c r="C21" s="67" t="s">
        <v>102</v>
      </c>
      <c r="D21" s="67" t="s">
        <v>86</v>
      </c>
      <c r="E21" s="67" t="s">
        <v>103</v>
      </c>
      <c r="F21" s="67" t="s">
        <v>95</v>
      </c>
      <c r="G21" s="66"/>
    </row>
    <row r="22" spans="1:7" ht="15.6" x14ac:dyDescent="0.3">
      <c r="C22" s="68">
        <f>input!G15</f>
        <v>68.342500000000001</v>
      </c>
      <c r="D22" s="68">
        <f>input!H15</f>
        <v>21.07375</v>
      </c>
      <c r="E22" s="72">
        <f>input!I15</f>
        <v>6.1999999999999993</v>
      </c>
      <c r="F22" s="68">
        <f>input!J15</f>
        <v>46</v>
      </c>
      <c r="G22" s="71"/>
    </row>
    <row r="25" spans="1:7" ht="15.6" x14ac:dyDescent="0.3">
      <c r="A25" s="63">
        <v>4</v>
      </c>
      <c r="B25" s="63" t="s">
        <v>110</v>
      </c>
      <c r="C25" s="63" t="str">
        <f>input!G9</f>
        <v>Rabbani</v>
      </c>
      <c r="E25" s="64" t="s">
        <v>111</v>
      </c>
      <c r="F25" s="65" t="str">
        <f>input!F9</f>
        <v>(25-32)</v>
      </c>
      <c r="G25" s="63"/>
    </row>
    <row r="27" spans="1:7" ht="15.6" x14ac:dyDescent="0.25">
      <c r="A27" s="66"/>
      <c r="B27" s="66"/>
      <c r="C27" s="67" t="s">
        <v>102</v>
      </c>
      <c r="D27" s="67" t="s">
        <v>86</v>
      </c>
      <c r="E27" s="67" t="s">
        <v>103</v>
      </c>
      <c r="F27" s="67" t="s">
        <v>95</v>
      </c>
      <c r="G27" s="66"/>
    </row>
    <row r="28" spans="1:7" ht="15.6" x14ac:dyDescent="0.3">
      <c r="C28" s="68">
        <f>input!G16</f>
        <v>76.490000000000009</v>
      </c>
      <c r="D28" s="68">
        <f>input!H16</f>
        <v>7.5500000000000007</v>
      </c>
      <c r="E28" s="72">
        <f>input!I16</f>
        <v>5.2833333333333341</v>
      </c>
      <c r="F28" s="68">
        <f>input!J16</f>
        <v>37</v>
      </c>
      <c r="G28" s="71"/>
    </row>
    <row r="30" spans="1:7" x14ac:dyDescent="0.25">
      <c r="E30" s="73"/>
    </row>
    <row r="31" spans="1:7" ht="15.6" x14ac:dyDescent="0.3">
      <c r="A31" s="63">
        <v>5</v>
      </c>
      <c r="B31" s="63" t="s">
        <v>110</v>
      </c>
      <c r="C31" s="63" t="str">
        <f>input!G10</f>
        <v>Riazul</v>
      </c>
      <c r="E31" s="64" t="s">
        <v>111</v>
      </c>
      <c r="F31" s="65" t="str">
        <f>input!F10</f>
        <v>(33-44)</v>
      </c>
      <c r="G31" s="63"/>
    </row>
    <row r="32" spans="1:7" x14ac:dyDescent="0.25">
      <c r="E32" s="73"/>
    </row>
    <row r="33" spans="1:8" ht="15.6" x14ac:dyDescent="0.25">
      <c r="A33" s="66"/>
      <c r="B33" s="66"/>
      <c r="C33" s="67" t="s">
        <v>102</v>
      </c>
      <c r="D33" s="67" t="s">
        <v>86</v>
      </c>
      <c r="E33" s="67" t="s">
        <v>103</v>
      </c>
      <c r="F33" s="67" t="s">
        <v>95</v>
      </c>
      <c r="G33" s="66"/>
    </row>
    <row r="34" spans="1:8" ht="15.6" x14ac:dyDescent="0.3">
      <c r="C34" s="68">
        <f>input!G17</f>
        <v>68.380833333333328</v>
      </c>
      <c r="D34" s="68">
        <f>input!H17</f>
        <v>9.3950000000000014</v>
      </c>
      <c r="E34" s="68">
        <f>input!I17</f>
        <v>5.6749999999999998</v>
      </c>
      <c r="F34" s="68">
        <f>input!J17</f>
        <v>91</v>
      </c>
      <c r="G34" s="71"/>
    </row>
    <row r="36" spans="1:8" x14ac:dyDescent="0.25">
      <c r="E36" s="73"/>
    </row>
    <row r="37" spans="1:8" ht="15.6" x14ac:dyDescent="0.3">
      <c r="B37" s="63" t="s">
        <v>112</v>
      </c>
    </row>
    <row r="39" spans="1:8" ht="46.8" x14ac:dyDescent="0.25">
      <c r="A39" s="74"/>
      <c r="B39" s="75" t="s">
        <v>113</v>
      </c>
      <c r="C39" s="75" t="s">
        <v>114</v>
      </c>
      <c r="D39" s="75" t="s">
        <v>115</v>
      </c>
      <c r="E39" s="75" t="s">
        <v>82</v>
      </c>
      <c r="F39" s="75" t="s">
        <v>25</v>
      </c>
      <c r="G39" s="75" t="s">
        <v>103</v>
      </c>
      <c r="H39" s="75" t="s">
        <v>116</v>
      </c>
    </row>
    <row r="40" spans="1:8" ht="21.6" customHeight="1" x14ac:dyDescent="0.25">
      <c r="B40" s="72">
        <f>input!L3</f>
        <v>16599.738545234592</v>
      </c>
      <c r="C40" s="72">
        <f>input!L4</f>
        <v>13279.790836187678</v>
      </c>
      <c r="D40" s="72">
        <f>input!L5</f>
        <v>12025</v>
      </c>
      <c r="E40" s="76">
        <f>input!L6</f>
        <v>0.72440900001115405</v>
      </c>
      <c r="F40" s="68">
        <f>input!L7</f>
        <v>10.677750000000001</v>
      </c>
      <c r="G40" s="68">
        <f>input!L8</f>
        <v>5.871666666666667</v>
      </c>
      <c r="H40" s="68">
        <f>input!L9</f>
        <v>348</v>
      </c>
    </row>
    <row r="46" spans="1:8" ht="18" x14ac:dyDescent="0.35">
      <c r="A46" s="57" t="s">
        <v>105</v>
      </c>
      <c r="B46" s="57" t="s">
        <v>106</v>
      </c>
      <c r="C46" s="57"/>
      <c r="D46" s="58" t="s">
        <v>107</v>
      </c>
      <c r="E46" s="57" t="str">
        <f>input!H3</f>
        <v>R/B</v>
      </c>
      <c r="F46" s="58" t="s">
        <v>108</v>
      </c>
      <c r="G46" s="59">
        <f>input!G2</f>
        <v>45575</v>
      </c>
      <c r="H46" s="57"/>
    </row>
    <row r="49" spans="1:8" ht="18" x14ac:dyDescent="0.3">
      <c r="A49" s="60" t="s">
        <v>109</v>
      </c>
      <c r="B49" s="61" t="str">
        <f>input!H4</f>
        <v>Sujon</v>
      </c>
    </row>
    <row r="51" spans="1:8" ht="15.6" x14ac:dyDescent="0.3">
      <c r="A51" s="63">
        <v>1</v>
      </c>
      <c r="B51" s="63" t="s">
        <v>110</v>
      </c>
      <c r="C51" s="63" t="str">
        <f>input!H6</f>
        <v>Emdadul</v>
      </c>
      <c r="D51" s="63"/>
      <c r="E51" s="64" t="s">
        <v>111</v>
      </c>
      <c r="F51" s="65" t="s">
        <v>79</v>
      </c>
      <c r="G51" s="63"/>
      <c r="H51" s="63"/>
    </row>
    <row r="53" spans="1:8" ht="15.6" x14ac:dyDescent="0.25">
      <c r="A53" s="66"/>
      <c r="B53" s="66"/>
      <c r="C53" s="67" t="s">
        <v>102</v>
      </c>
      <c r="D53" s="67" t="s">
        <v>86</v>
      </c>
      <c r="E53" s="67" t="s">
        <v>103</v>
      </c>
      <c r="F53" s="67" t="s">
        <v>95</v>
      </c>
      <c r="G53" s="66"/>
      <c r="H53" s="66"/>
    </row>
    <row r="54" spans="1:8" ht="15.6" x14ac:dyDescent="0.3">
      <c r="C54" s="68">
        <f>input!G18</f>
        <v>67.855714285714285</v>
      </c>
      <c r="D54" s="68">
        <f>input!H18</f>
        <v>8.4414285714285722</v>
      </c>
      <c r="E54" s="77">
        <f>input!I18</f>
        <v>9.2142857142857135</v>
      </c>
      <c r="F54" s="68">
        <f>input!J18</f>
        <v>76</v>
      </c>
      <c r="G54" s="71"/>
    </row>
    <row r="57" spans="1:8" ht="15.6" x14ac:dyDescent="0.3">
      <c r="A57" s="63">
        <v>2</v>
      </c>
      <c r="B57" s="63" t="s">
        <v>110</v>
      </c>
      <c r="C57" s="63" t="str">
        <f>input!H7</f>
        <v>mamun</v>
      </c>
      <c r="E57" s="64" t="s">
        <v>111</v>
      </c>
      <c r="F57" s="65" t="s">
        <v>83</v>
      </c>
      <c r="G57" s="63"/>
    </row>
    <row r="59" spans="1:8" ht="15.6" x14ac:dyDescent="0.25">
      <c r="A59" s="66"/>
      <c r="B59" s="66"/>
      <c r="C59" s="67" t="s">
        <v>102</v>
      </c>
      <c r="D59" s="67" t="s">
        <v>86</v>
      </c>
      <c r="E59" s="67" t="s">
        <v>103</v>
      </c>
      <c r="F59" s="67" t="s">
        <v>95</v>
      </c>
      <c r="G59" s="66"/>
    </row>
    <row r="60" spans="1:8" ht="15.6" x14ac:dyDescent="0.3">
      <c r="C60" s="68">
        <f>input!G19</f>
        <v>65.626666666666665</v>
      </c>
      <c r="D60" s="68">
        <f>input!H19</f>
        <v>8.32</v>
      </c>
      <c r="E60" s="77">
        <f>input!I19</f>
        <v>5.583333333333333</v>
      </c>
      <c r="F60" s="68">
        <f>input!J19</f>
        <v>82</v>
      </c>
      <c r="G60" s="71"/>
    </row>
    <row r="62" spans="1:8" ht="15.6" x14ac:dyDescent="0.3">
      <c r="A62" s="63">
        <v>3</v>
      </c>
      <c r="B62" s="63" t="s">
        <v>110</v>
      </c>
      <c r="C62" s="63" t="str">
        <f>input!H8</f>
        <v>Sabbir</v>
      </c>
      <c r="E62" s="64" t="s">
        <v>111</v>
      </c>
      <c r="F62" s="65" t="s">
        <v>87</v>
      </c>
      <c r="G62" s="63"/>
    </row>
    <row r="64" spans="1:8" ht="15.6" x14ac:dyDescent="0.25">
      <c r="A64" s="66"/>
      <c r="B64" s="66"/>
      <c r="C64" s="67" t="s">
        <v>102</v>
      </c>
      <c r="D64" s="67" t="s">
        <v>86</v>
      </c>
      <c r="E64" s="67" t="s">
        <v>103</v>
      </c>
      <c r="F64" s="67" t="s">
        <v>95</v>
      </c>
      <c r="G64" s="66"/>
    </row>
    <row r="65" spans="1:7" ht="15.6" x14ac:dyDescent="0.3">
      <c r="C65" s="68">
        <f>input!G20</f>
        <v>80.007500000000022</v>
      </c>
      <c r="D65" s="68">
        <f>input!H20</f>
        <v>8.43</v>
      </c>
      <c r="E65" s="77">
        <f>input!I20</f>
        <v>3.4874999999999998</v>
      </c>
      <c r="F65" s="68">
        <f>input!J20</f>
        <v>60</v>
      </c>
      <c r="G65" s="71"/>
    </row>
    <row r="68" spans="1:7" ht="15.6" x14ac:dyDescent="0.3">
      <c r="A68" s="63">
        <v>4</v>
      </c>
      <c r="B68" s="63" t="s">
        <v>110</v>
      </c>
      <c r="C68" s="63" t="str">
        <f>input!H9</f>
        <v>nayon</v>
      </c>
      <c r="E68" s="64" t="s">
        <v>111</v>
      </c>
      <c r="F68" s="65" t="s">
        <v>92</v>
      </c>
      <c r="G68" s="63"/>
    </row>
    <row r="70" spans="1:7" ht="15.6" x14ac:dyDescent="0.25">
      <c r="A70" s="66"/>
      <c r="B70" s="66"/>
      <c r="C70" s="67" t="s">
        <v>102</v>
      </c>
      <c r="D70" s="67" t="s">
        <v>86</v>
      </c>
      <c r="E70" s="67" t="s">
        <v>103</v>
      </c>
      <c r="F70" s="67" t="s">
        <v>95</v>
      </c>
      <c r="G70" s="66"/>
    </row>
    <row r="71" spans="1:7" ht="15.6" x14ac:dyDescent="0.3">
      <c r="C71" s="68">
        <f>input!G21</f>
        <v>69.045999999999992</v>
      </c>
      <c r="D71" s="68">
        <f>input!H21</f>
        <v>13.89</v>
      </c>
      <c r="E71" s="77">
        <f>input!I21</f>
        <v>3.4799999999999995</v>
      </c>
      <c r="F71" s="68">
        <f>input!J21</f>
        <v>39</v>
      </c>
      <c r="G71" s="71"/>
    </row>
    <row r="73" spans="1:7" x14ac:dyDescent="0.25">
      <c r="E73" s="73"/>
    </row>
    <row r="74" spans="1:7" ht="15.6" x14ac:dyDescent="0.3">
      <c r="A74" s="63">
        <v>5</v>
      </c>
      <c r="B74" s="63" t="s">
        <v>110</v>
      </c>
      <c r="C74" s="63" t="str">
        <f>input!H10</f>
        <v>shihab</v>
      </c>
      <c r="E74" s="64" t="s">
        <v>111</v>
      </c>
      <c r="F74" s="65" t="s">
        <v>96</v>
      </c>
      <c r="G74" s="63"/>
    </row>
    <row r="75" spans="1:7" x14ac:dyDescent="0.25">
      <c r="E75" s="73"/>
    </row>
    <row r="76" spans="1:7" ht="15.6" x14ac:dyDescent="0.25">
      <c r="A76" s="66"/>
      <c r="B76" s="66"/>
      <c r="C76" s="67" t="s">
        <v>102</v>
      </c>
      <c r="D76" s="67" t="s">
        <v>86</v>
      </c>
      <c r="E76" s="67" t="s">
        <v>103</v>
      </c>
      <c r="F76" s="67" t="s">
        <v>95</v>
      </c>
      <c r="G76" s="66"/>
    </row>
    <row r="77" spans="1:7" ht="15.6" x14ac:dyDescent="0.3">
      <c r="C77" s="68">
        <f>input!G22</f>
        <v>76.086363636363643</v>
      </c>
      <c r="D77" s="68">
        <f>input!H22</f>
        <v>6.6418181818181816</v>
      </c>
      <c r="E77" s="77">
        <f>input!I22</f>
        <v>4.754545454545454</v>
      </c>
      <c r="F77" s="68">
        <f>input!J22</f>
        <v>85</v>
      </c>
      <c r="G77" s="71"/>
    </row>
    <row r="79" spans="1:7" x14ac:dyDescent="0.25">
      <c r="E79" s="73"/>
    </row>
    <row r="80" spans="1:7" ht="15.6" x14ac:dyDescent="0.3">
      <c r="B80" s="63" t="s">
        <v>112</v>
      </c>
    </row>
    <row r="82" spans="1:8" ht="46.8" x14ac:dyDescent="0.25">
      <c r="A82" s="74"/>
      <c r="B82" s="75" t="s">
        <v>113</v>
      </c>
      <c r="C82" s="75" t="s">
        <v>114</v>
      </c>
      <c r="D82" s="75" t="s">
        <v>115</v>
      </c>
      <c r="E82" s="75" t="s">
        <v>82</v>
      </c>
      <c r="F82" s="75" t="s">
        <v>25</v>
      </c>
      <c r="G82" s="67" t="s">
        <v>103</v>
      </c>
      <c r="H82" s="67" t="s">
        <v>95</v>
      </c>
    </row>
    <row r="83" spans="1:8" x14ac:dyDescent="0.25">
      <c r="B83" s="72">
        <f>input!M3</f>
        <v>16330.020961775066</v>
      </c>
      <c r="C83" s="72">
        <f>input!M4</f>
        <v>13064.016769420055</v>
      </c>
      <c r="D83" s="72">
        <f>input!M5</f>
        <v>12125</v>
      </c>
      <c r="E83" s="76">
        <f>input!M6</f>
        <v>0.74249751597881708</v>
      </c>
      <c r="F83" s="72">
        <f>input!M7</f>
        <v>9.1446493506493507</v>
      </c>
      <c r="G83" s="72">
        <f>input!M8</f>
        <v>5.3039329004329003</v>
      </c>
      <c r="H83" s="72">
        <f>input!M9</f>
        <v>342</v>
      </c>
    </row>
    <row r="89" spans="1:8" ht="18" x14ac:dyDescent="0.35">
      <c r="A89" s="57" t="s">
        <v>105</v>
      </c>
      <c r="B89" s="57" t="s">
        <v>106</v>
      </c>
      <c r="C89" s="57"/>
      <c r="D89" s="58" t="s">
        <v>107</v>
      </c>
      <c r="E89" s="57" t="str">
        <f>input!I3</f>
        <v>R/C</v>
      </c>
      <c r="F89" s="58" t="s">
        <v>108</v>
      </c>
      <c r="G89" s="59">
        <f>input!G2</f>
        <v>45575</v>
      </c>
      <c r="H89" s="57"/>
    </row>
    <row r="92" spans="1:8" ht="18" x14ac:dyDescent="0.3">
      <c r="A92" s="60" t="s">
        <v>109</v>
      </c>
      <c r="B92" s="61" t="str">
        <f>input!I4</f>
        <v>Alamin</v>
      </c>
    </row>
    <row r="94" spans="1:8" ht="15.6" x14ac:dyDescent="0.3">
      <c r="A94" s="63">
        <v>1</v>
      </c>
      <c r="B94" s="63" t="s">
        <v>110</v>
      </c>
      <c r="C94" s="63" t="str">
        <f>input!I6</f>
        <v>Alauddin</v>
      </c>
      <c r="D94" s="63"/>
      <c r="E94" s="64" t="s">
        <v>111</v>
      </c>
      <c r="F94" s="65" t="s">
        <v>79</v>
      </c>
      <c r="G94" s="63"/>
      <c r="H94" s="63"/>
    </row>
    <row r="96" spans="1:8" ht="15.6" x14ac:dyDescent="0.25">
      <c r="A96" s="66"/>
      <c r="B96" s="66"/>
      <c r="C96" s="67" t="s">
        <v>102</v>
      </c>
      <c r="D96" s="67" t="s">
        <v>86</v>
      </c>
      <c r="E96" s="67" t="s">
        <v>103</v>
      </c>
      <c r="F96" s="67" t="s">
        <v>95</v>
      </c>
      <c r="G96" s="66"/>
      <c r="H96" s="66"/>
    </row>
    <row r="97" spans="1:7" ht="15.6" x14ac:dyDescent="0.3">
      <c r="C97" s="68">
        <f>input!G23</f>
        <v>70.540000000000006</v>
      </c>
      <c r="D97" s="68">
        <f>input!H23</f>
        <v>14.934285714285712</v>
      </c>
      <c r="E97" s="77">
        <f>input!I23</f>
        <v>3.4</v>
      </c>
      <c r="F97" s="68">
        <f>input!J23</f>
        <v>77</v>
      </c>
      <c r="G97" s="71"/>
    </row>
    <row r="100" spans="1:7" ht="15.6" x14ac:dyDescent="0.3">
      <c r="A100" s="63">
        <v>2</v>
      </c>
      <c r="B100" s="63" t="s">
        <v>110</v>
      </c>
      <c r="C100" s="63" t="str">
        <f>input!I7</f>
        <v>Alamin</v>
      </c>
      <c r="E100" s="64" t="s">
        <v>111</v>
      </c>
      <c r="F100" s="65" t="s">
        <v>83</v>
      </c>
      <c r="G100" s="63"/>
    </row>
    <row r="102" spans="1:7" ht="15.6" x14ac:dyDescent="0.25">
      <c r="A102" s="66"/>
      <c r="B102" s="66"/>
      <c r="C102" s="67" t="s">
        <v>102</v>
      </c>
      <c r="D102" s="67" t="s">
        <v>86</v>
      </c>
      <c r="E102" s="67" t="s">
        <v>103</v>
      </c>
      <c r="F102" s="67" t="s">
        <v>95</v>
      </c>
      <c r="G102" s="66"/>
    </row>
    <row r="103" spans="1:7" ht="15.6" x14ac:dyDescent="0.3">
      <c r="C103" s="68">
        <f>input!G24</f>
        <v>64.536666666666676</v>
      </c>
      <c r="D103" s="68">
        <f>input!H24</f>
        <v>10.483333333333333</v>
      </c>
      <c r="E103" s="77">
        <f>input!I24</f>
        <v>4.1333333333333337</v>
      </c>
      <c r="F103" s="68">
        <f>input!J24</f>
        <v>80</v>
      </c>
      <c r="G103" s="71"/>
    </row>
    <row r="105" spans="1:7" ht="15.6" x14ac:dyDescent="0.3">
      <c r="A105" s="63">
        <v>3</v>
      </c>
      <c r="B105" s="63" t="s">
        <v>110</v>
      </c>
      <c r="C105" s="63" t="str">
        <f>input!I8</f>
        <v>Tamim</v>
      </c>
      <c r="E105" s="64" t="s">
        <v>111</v>
      </c>
      <c r="F105" s="65" t="s">
        <v>87</v>
      </c>
      <c r="G105" s="63"/>
    </row>
    <row r="107" spans="1:7" ht="15.6" x14ac:dyDescent="0.25">
      <c r="A107" s="66"/>
      <c r="B107" s="66"/>
      <c r="C107" s="67" t="s">
        <v>102</v>
      </c>
      <c r="D107" s="67" t="s">
        <v>86</v>
      </c>
      <c r="E107" s="67" t="s">
        <v>103</v>
      </c>
      <c r="F107" s="67" t="s">
        <v>95</v>
      </c>
      <c r="G107" s="66"/>
    </row>
    <row r="108" spans="1:7" ht="15.6" x14ac:dyDescent="0.3">
      <c r="C108" s="68">
        <f>input!G25</f>
        <v>73.197499999999991</v>
      </c>
      <c r="D108" s="68">
        <f>input!H25</f>
        <v>10.015000000000002</v>
      </c>
      <c r="E108" s="77">
        <f>input!I25</f>
        <v>7.625</v>
      </c>
      <c r="F108" s="68">
        <f>input!J25</f>
        <v>49</v>
      </c>
      <c r="G108" s="71"/>
    </row>
    <row r="111" spans="1:7" ht="15.6" x14ac:dyDescent="0.3">
      <c r="A111" s="63">
        <v>4</v>
      </c>
      <c r="B111" s="63" t="s">
        <v>110</v>
      </c>
      <c r="C111" s="63" t="str">
        <f>input!I9</f>
        <v>Sajib</v>
      </c>
      <c r="E111" s="64" t="s">
        <v>111</v>
      </c>
      <c r="F111" s="65" t="s">
        <v>92</v>
      </c>
      <c r="G111" s="63"/>
    </row>
    <row r="113" spans="1:8" ht="15.6" x14ac:dyDescent="0.25">
      <c r="A113" s="66"/>
      <c r="B113" s="66"/>
      <c r="C113" s="67" t="s">
        <v>102</v>
      </c>
      <c r="D113" s="67" t="s">
        <v>86</v>
      </c>
      <c r="E113" s="67" t="s">
        <v>103</v>
      </c>
      <c r="F113" s="67" t="s">
        <v>95</v>
      </c>
      <c r="G113" s="66"/>
    </row>
    <row r="114" spans="1:8" ht="15.6" x14ac:dyDescent="0.3">
      <c r="C114" s="68">
        <f>input!G26</f>
        <v>70.082000000000008</v>
      </c>
      <c r="D114" s="68">
        <f>input!H26</f>
        <v>11.712</v>
      </c>
      <c r="E114" s="77">
        <f>input!I26</f>
        <v>5.0199999999999996</v>
      </c>
      <c r="F114" s="68">
        <f>input!J26</f>
        <v>38</v>
      </c>
      <c r="G114" s="71"/>
    </row>
    <row r="116" spans="1:8" x14ac:dyDescent="0.25">
      <c r="E116" s="73"/>
    </row>
    <row r="117" spans="1:8" ht="15.6" x14ac:dyDescent="0.3">
      <c r="A117" s="63">
        <v>5</v>
      </c>
      <c r="B117" s="63" t="s">
        <v>110</v>
      </c>
      <c r="C117" s="63" t="str">
        <f>input!I10</f>
        <v>Sujon</v>
      </c>
      <c r="E117" s="64" t="s">
        <v>111</v>
      </c>
      <c r="F117" s="65" t="s">
        <v>96</v>
      </c>
      <c r="G117" s="63"/>
    </row>
    <row r="118" spans="1:8" x14ac:dyDescent="0.25">
      <c r="E118" s="73"/>
    </row>
    <row r="119" spans="1:8" ht="15.6" x14ac:dyDescent="0.25">
      <c r="A119" s="66"/>
      <c r="B119" s="66"/>
      <c r="C119" s="67" t="s">
        <v>102</v>
      </c>
      <c r="D119" s="67" t="s">
        <v>86</v>
      </c>
      <c r="E119" s="67" t="s">
        <v>103</v>
      </c>
      <c r="F119" s="67" t="s">
        <v>95</v>
      </c>
      <c r="G119" s="66"/>
    </row>
    <row r="120" spans="1:8" ht="15.6" x14ac:dyDescent="0.3">
      <c r="C120" s="68">
        <f>input!G27</f>
        <v>62.857272727272722</v>
      </c>
      <c r="D120" s="68">
        <f>input!H27</f>
        <v>13.465454545454547</v>
      </c>
      <c r="E120" s="77">
        <f>input!I27</f>
        <v>9.7454545454545443</v>
      </c>
      <c r="F120" s="68">
        <f>input!J27</f>
        <v>86</v>
      </c>
      <c r="G120" s="71"/>
    </row>
    <row r="122" spans="1:8" x14ac:dyDescent="0.25">
      <c r="E122" s="73"/>
    </row>
    <row r="123" spans="1:8" ht="15.6" x14ac:dyDescent="0.3">
      <c r="B123" s="63" t="s">
        <v>112</v>
      </c>
    </row>
    <row r="125" spans="1:8" ht="46.8" x14ac:dyDescent="0.25">
      <c r="A125" s="74"/>
      <c r="B125" s="75" t="s">
        <v>113</v>
      </c>
      <c r="C125" s="75" t="s">
        <v>114</v>
      </c>
      <c r="D125" s="75" t="s">
        <v>115</v>
      </c>
      <c r="E125" s="75" t="s">
        <v>82</v>
      </c>
      <c r="F125" s="75" t="s">
        <v>25</v>
      </c>
      <c r="G125" s="67" t="s">
        <v>103</v>
      </c>
      <c r="H125" s="67" t="s">
        <v>95</v>
      </c>
    </row>
    <row r="126" spans="1:8" x14ac:dyDescent="0.25">
      <c r="B126" s="72">
        <f>input!N3</f>
        <v>16541.876300299999</v>
      </c>
      <c r="C126" s="72">
        <f>input!N4</f>
        <v>13233.501040240002</v>
      </c>
      <c r="D126" s="72">
        <f>input!N5</f>
        <v>11802</v>
      </c>
      <c r="E126" s="76">
        <f>input!N6</f>
        <v>0.71346199099469521</v>
      </c>
      <c r="F126" s="68">
        <f>input!N7</f>
        <v>12.122014718614718</v>
      </c>
      <c r="G126" s="77">
        <f>input!N8</f>
        <v>5.9847575757575751</v>
      </c>
      <c r="H126" s="68">
        <f>input!N9</f>
        <v>330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6BF9-97EF-4941-A52B-98C472DCDD55}">
  <sheetPr codeName="Sheet9"/>
  <dimension ref="A1:N35"/>
  <sheetViews>
    <sheetView topLeftCell="A4" workbookViewId="0">
      <selection activeCell="L12" sqref="L12"/>
    </sheetView>
  </sheetViews>
  <sheetFormatPr defaultRowHeight="14.4" x14ac:dyDescent="0.3"/>
  <cols>
    <col min="1" max="1" width="15.6640625" bestFit="1" customWidth="1"/>
    <col min="2" max="2" width="12.33203125" customWidth="1"/>
  </cols>
  <sheetData>
    <row r="1" spans="1:2" x14ac:dyDescent="0.3">
      <c r="A1" t="s">
        <v>127</v>
      </c>
      <c r="B1" t="s">
        <v>126</v>
      </c>
    </row>
    <row r="2" spans="1:2" x14ac:dyDescent="0.3">
      <c r="A2" t="s">
        <v>125</v>
      </c>
      <c r="B2" s="84">
        <f>(AVERAGE(SUM(AVERAGE('Shift-A'!E2:E48,'Shift-B'!E2:E49,'Shift-C'!E2:E48))))/100</f>
        <v>0.89395398230088507</v>
      </c>
    </row>
    <row r="3" spans="1:2" x14ac:dyDescent="0.3">
      <c r="A3" t="s">
        <v>128</v>
      </c>
      <c r="B3" s="85">
        <f>1-B2</f>
        <v>0.10604601769911493</v>
      </c>
    </row>
    <row r="10" spans="1:2" x14ac:dyDescent="0.3">
      <c r="A10" t="s">
        <v>127</v>
      </c>
      <c r="B10" t="s">
        <v>126</v>
      </c>
    </row>
    <row r="11" spans="1:2" x14ac:dyDescent="0.3">
      <c r="A11" t="s">
        <v>129</v>
      </c>
    </row>
    <row r="12" spans="1:2" x14ac:dyDescent="0.3">
      <c r="A12" t="s">
        <v>128</v>
      </c>
    </row>
    <row r="23" spans="1:14" x14ac:dyDescent="0.3">
      <c r="A23" t="s">
        <v>38</v>
      </c>
      <c r="B23" t="s">
        <v>130</v>
      </c>
    </row>
    <row r="24" spans="1:14" hidden="1" x14ac:dyDescent="0.3">
      <c r="A24" s="86" t="s">
        <v>131</v>
      </c>
      <c r="B24" s="84">
        <v>0.74670000000000003</v>
      </c>
      <c r="M24" s="87"/>
      <c r="N24" s="88"/>
    </row>
    <row r="25" spans="1:14" x14ac:dyDescent="0.3">
      <c r="A25" s="97" t="s">
        <v>138</v>
      </c>
      <c r="B25" s="84">
        <v>0.7</v>
      </c>
    </row>
    <row r="26" spans="1:14" x14ac:dyDescent="0.3">
      <c r="A26" s="106" t="s">
        <v>139</v>
      </c>
      <c r="B26" s="84">
        <v>0.7</v>
      </c>
    </row>
    <row r="27" spans="1:14" x14ac:dyDescent="0.3">
      <c r="A27" s="106" t="s">
        <v>140</v>
      </c>
      <c r="B27" s="84">
        <v>0.72</v>
      </c>
    </row>
    <row r="28" spans="1:14" x14ac:dyDescent="0.3">
      <c r="A28" s="106" t="s">
        <v>141</v>
      </c>
      <c r="B28" s="84">
        <v>0.7</v>
      </c>
    </row>
    <row r="29" spans="1:14" x14ac:dyDescent="0.3">
      <c r="A29" s="106" t="s">
        <v>142</v>
      </c>
      <c r="B29" s="84">
        <v>0.64</v>
      </c>
    </row>
    <row r="30" spans="1:14" x14ac:dyDescent="0.3">
      <c r="A30" s="106" t="s">
        <v>144</v>
      </c>
      <c r="B30" s="84">
        <v>0.7</v>
      </c>
    </row>
    <row r="31" spans="1:14" x14ac:dyDescent="0.3">
      <c r="A31" s="97" t="s">
        <v>145</v>
      </c>
      <c r="B31" s="84">
        <v>0.68</v>
      </c>
    </row>
    <row r="32" spans="1:14" x14ac:dyDescent="0.3">
      <c r="A32" s="97" t="s">
        <v>146</v>
      </c>
      <c r="B32" s="84">
        <v>0.67</v>
      </c>
    </row>
    <row r="33" spans="1:2" x14ac:dyDescent="0.3">
      <c r="A33" s="97" t="s">
        <v>147</v>
      </c>
      <c r="B33" s="84">
        <v>0.71</v>
      </c>
    </row>
    <row r="34" spans="1:2" x14ac:dyDescent="0.3">
      <c r="A34" s="97" t="s">
        <v>148</v>
      </c>
      <c r="B34" s="84">
        <v>0.72</v>
      </c>
    </row>
    <row r="35" spans="1:2" x14ac:dyDescent="0.3">
      <c r="A35" s="97" t="s">
        <v>153</v>
      </c>
      <c r="B35" s="84">
        <v>0.7</v>
      </c>
    </row>
  </sheetData>
  <phoneticPr fontId="12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F56E-FE97-4D44-8D4A-C96694F414E3}">
  <dimension ref="A1:K4"/>
  <sheetViews>
    <sheetView tabSelected="1" workbookViewId="0">
      <selection activeCell="C11" sqref="C11"/>
    </sheetView>
  </sheetViews>
  <sheetFormatPr defaultRowHeight="14.4" x14ac:dyDescent="0.3"/>
  <cols>
    <col min="1" max="1" width="10.88671875" customWidth="1"/>
    <col min="2" max="2" width="20.33203125" customWidth="1"/>
    <col min="3" max="3" width="17.109375" customWidth="1"/>
    <col min="4" max="4" width="12.33203125" customWidth="1"/>
    <col min="5" max="5" width="24.33203125" customWidth="1"/>
    <col min="6" max="6" width="11.88671875" customWidth="1"/>
    <col min="7" max="7" width="20.109375" customWidth="1"/>
    <col min="8" max="8" width="21.6640625" customWidth="1"/>
    <col min="9" max="9" width="20.6640625" customWidth="1"/>
    <col min="11" max="11" width="19.6640625" customWidth="1"/>
  </cols>
  <sheetData>
    <row r="1" spans="1:11" x14ac:dyDescent="0.3">
      <c r="A1" t="s">
        <v>37</v>
      </c>
      <c r="B1" t="s">
        <v>16</v>
      </c>
      <c r="C1" t="s">
        <v>30</v>
      </c>
      <c r="D1" t="s">
        <v>17</v>
      </c>
      <c r="E1" t="s">
        <v>18</v>
      </c>
      <c r="F1" t="s">
        <v>124</v>
      </c>
      <c r="G1" t="s">
        <v>33</v>
      </c>
      <c r="H1" t="s">
        <v>19</v>
      </c>
      <c r="I1" t="s">
        <v>34</v>
      </c>
      <c r="J1" t="s">
        <v>25</v>
      </c>
      <c r="K1" t="s">
        <v>35</v>
      </c>
    </row>
    <row r="2" spans="1:11" x14ac:dyDescent="0.3">
      <c r="A2" t="s">
        <v>15</v>
      </c>
      <c r="B2">
        <f>'Main Dashboard'!F22</f>
        <v>37</v>
      </c>
      <c r="C2">
        <f>'Main Dashboard'!F23</f>
        <v>70.370999999999995</v>
      </c>
      <c r="D2">
        <f>'Main Dashboard'!F24</f>
        <v>9.6240000000000006</v>
      </c>
      <c r="E2">
        <f>'Main Dashboard'!F25</f>
        <v>9718.61</v>
      </c>
      <c r="F2">
        <f>'Main Dashboard'!F26</f>
        <v>7.4569999999999999</v>
      </c>
      <c r="G2">
        <f>'Main Dashboard'!F27</f>
        <v>9.9480000000000004</v>
      </c>
      <c r="H2">
        <f>'Main Dashboard'!F28</f>
        <v>348</v>
      </c>
      <c r="I2">
        <f>'Main Dashboard'!F29</f>
        <v>5.91</v>
      </c>
      <c r="J2">
        <f>'Main Dashboard'!F30</f>
        <v>10.901</v>
      </c>
      <c r="K2">
        <f>'Main Dashboard'!F31</f>
        <v>7337</v>
      </c>
    </row>
    <row r="3" spans="1:11" x14ac:dyDescent="0.3">
      <c r="A3" t="s">
        <v>29</v>
      </c>
      <c r="B3">
        <f>'Main Dashboard'!G22</f>
        <v>37</v>
      </c>
      <c r="C3">
        <f>'Main Dashboard'!G23</f>
        <v>72.728999999999999</v>
      </c>
      <c r="D3">
        <f>'Main Dashboard'!G24</f>
        <v>9.593</v>
      </c>
      <c r="E3">
        <f>'Main Dashboard'!G25</f>
        <v>9872.39</v>
      </c>
      <c r="F3">
        <f>'Main Dashboard'!G26</f>
        <v>8.0860000000000003</v>
      </c>
      <c r="G3">
        <f>'Main Dashboard'!G27</f>
        <v>10.965</v>
      </c>
      <c r="H3">
        <f>'Main Dashboard'!G28</f>
        <v>342</v>
      </c>
      <c r="I3">
        <f>'Main Dashboard'!G29</f>
        <v>5.2859999999999996</v>
      </c>
      <c r="J3">
        <f>'Main Dashboard'!G30</f>
        <v>8.6210000000000004</v>
      </c>
      <c r="K3">
        <f>'Main Dashboard'!G31</f>
        <v>7834</v>
      </c>
    </row>
    <row r="4" spans="1:11" x14ac:dyDescent="0.3">
      <c r="A4" t="s">
        <v>32</v>
      </c>
      <c r="B4">
        <f>'Main Dashboard'!H22</f>
        <v>37</v>
      </c>
      <c r="C4">
        <f>'Main Dashboard'!H23</f>
        <v>68.064999999999998</v>
      </c>
      <c r="D4">
        <f>'Main Dashboard'!H24</f>
        <v>9.5229999999999997</v>
      </c>
      <c r="E4">
        <f>'Main Dashboard'!H25</f>
        <v>9212.82</v>
      </c>
      <c r="F4">
        <f>'Main Dashboard'!H26</f>
        <v>7.9909999999999997</v>
      </c>
      <c r="G4">
        <f>'Main Dashboard'!H27</f>
        <v>10.798999999999999</v>
      </c>
      <c r="H4">
        <f>'Main Dashboard'!H28</f>
        <v>330</v>
      </c>
      <c r="I4">
        <f>'Main Dashboard'!H29</f>
        <v>6.5380000000000003</v>
      </c>
      <c r="J4">
        <f>'Main Dashboard'!H30</f>
        <v>12.276999999999999</v>
      </c>
      <c r="K4">
        <f>'Main Dashboard'!H31</f>
        <v>7158</v>
      </c>
    </row>
  </sheetData>
  <pageMargins left="0.7" right="0.7" top="0.75" bottom="0.75" header="0.3" footer="0.3"/>
  <ignoredErrors>
    <ignoredError sqref="C3:C4" calculatedColumn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37C7-316B-4D87-82E2-4E577EA92D8C}">
  <sheetPr codeName="Sheet10"/>
  <dimension ref="A3:E16"/>
  <sheetViews>
    <sheetView workbookViewId="0">
      <selection activeCell="K15" sqref="K15"/>
    </sheetView>
  </sheetViews>
  <sheetFormatPr defaultRowHeight="14.4" x14ac:dyDescent="0.3"/>
  <cols>
    <col min="1" max="1" width="20.33203125" bestFit="1" customWidth="1"/>
    <col min="2" max="2" width="15.6640625" bestFit="1" customWidth="1"/>
    <col min="3" max="3" width="16.33203125" bestFit="1" customWidth="1"/>
    <col min="4" max="4" width="11.6640625" bestFit="1" customWidth="1"/>
    <col min="5" max="5" width="19.88671875" bestFit="1" customWidth="1"/>
  </cols>
  <sheetData>
    <row r="3" spans="1:5" x14ac:dyDescent="0.3">
      <c r="A3" s="79" t="s">
        <v>117</v>
      </c>
      <c r="B3" t="s">
        <v>132</v>
      </c>
      <c r="C3" t="s">
        <v>133</v>
      </c>
      <c r="D3" t="s">
        <v>134</v>
      </c>
      <c r="E3" t="s">
        <v>121</v>
      </c>
    </row>
    <row r="4" spans="1:5" x14ac:dyDescent="0.3">
      <c r="A4" s="80" t="s">
        <v>10</v>
      </c>
      <c r="B4">
        <v>71.905714285714282</v>
      </c>
      <c r="C4">
        <v>12.742857142857144</v>
      </c>
      <c r="D4">
        <v>69</v>
      </c>
      <c r="E4">
        <v>7</v>
      </c>
    </row>
    <row r="5" spans="1:5" x14ac:dyDescent="0.3">
      <c r="A5" s="80" t="s">
        <v>40</v>
      </c>
      <c r="B5">
        <v>73.84</v>
      </c>
      <c r="C5">
        <v>8.3800000000000008</v>
      </c>
      <c r="D5">
        <v>8</v>
      </c>
      <c r="E5">
        <v>1</v>
      </c>
    </row>
    <row r="6" spans="1:5" x14ac:dyDescent="0.3">
      <c r="A6" s="80" t="s">
        <v>123</v>
      </c>
      <c r="B6">
        <v>81.47</v>
      </c>
      <c r="C6">
        <v>2.36</v>
      </c>
      <c r="D6">
        <v>5</v>
      </c>
      <c r="E6">
        <v>1</v>
      </c>
    </row>
    <row r="7" spans="1:5" x14ac:dyDescent="0.3">
      <c r="A7" s="80" t="s">
        <v>12</v>
      </c>
      <c r="B7">
        <v>72.204999999999998</v>
      </c>
      <c r="C7">
        <v>6.6</v>
      </c>
      <c r="D7">
        <v>12</v>
      </c>
      <c r="E7">
        <v>2</v>
      </c>
    </row>
    <row r="8" spans="1:5" x14ac:dyDescent="0.3">
      <c r="A8" s="80" t="s">
        <v>122</v>
      </c>
      <c r="B8">
        <v>68.95</v>
      </c>
      <c r="C8">
        <v>9.25</v>
      </c>
      <c r="D8">
        <v>5</v>
      </c>
      <c r="E8">
        <v>1</v>
      </c>
    </row>
    <row r="9" spans="1:5" x14ac:dyDescent="0.3">
      <c r="A9" s="80" t="s">
        <v>11</v>
      </c>
      <c r="B9">
        <v>73.805000000000007</v>
      </c>
      <c r="C9">
        <v>9.1550000000000011</v>
      </c>
      <c r="D9">
        <v>14</v>
      </c>
      <c r="E9">
        <v>2</v>
      </c>
    </row>
    <row r="10" spans="1:5" x14ac:dyDescent="0.3">
      <c r="A10" s="80" t="s">
        <v>9</v>
      </c>
      <c r="B10">
        <v>63.472999999999999</v>
      </c>
      <c r="C10">
        <v>17.292999999999999</v>
      </c>
      <c r="D10">
        <v>63</v>
      </c>
      <c r="E10">
        <v>10</v>
      </c>
    </row>
    <row r="11" spans="1:5" x14ac:dyDescent="0.3">
      <c r="A11" s="80" t="s">
        <v>13</v>
      </c>
      <c r="B11">
        <v>74.35499999999999</v>
      </c>
      <c r="C11">
        <v>8.36</v>
      </c>
      <c r="D11">
        <v>15</v>
      </c>
      <c r="E11">
        <v>2</v>
      </c>
    </row>
    <row r="12" spans="1:5" x14ac:dyDescent="0.3">
      <c r="A12" s="80" t="s">
        <v>135</v>
      </c>
      <c r="B12">
        <v>69.683333333333323</v>
      </c>
      <c r="C12">
        <v>13.323333333333332</v>
      </c>
      <c r="D12">
        <v>77</v>
      </c>
      <c r="E12">
        <v>6</v>
      </c>
    </row>
    <row r="13" spans="1:5" x14ac:dyDescent="0.3">
      <c r="A13" s="80" t="s">
        <v>39</v>
      </c>
      <c r="B13">
        <v>52.55</v>
      </c>
      <c r="C13">
        <v>36.72</v>
      </c>
      <c r="D13">
        <v>3</v>
      </c>
      <c r="E13">
        <v>1</v>
      </c>
    </row>
    <row r="14" spans="1:5" x14ac:dyDescent="0.3">
      <c r="A14" s="80" t="s">
        <v>137</v>
      </c>
      <c r="B14">
        <v>69.84</v>
      </c>
      <c r="C14">
        <v>15.56</v>
      </c>
      <c r="D14">
        <v>5</v>
      </c>
      <c r="E14">
        <v>1</v>
      </c>
    </row>
    <row r="15" spans="1:5" x14ac:dyDescent="0.3">
      <c r="A15" s="80" t="s">
        <v>136</v>
      </c>
      <c r="B15">
        <v>70.416666666666671</v>
      </c>
      <c r="C15">
        <v>9.7200000000000006</v>
      </c>
      <c r="D15">
        <v>22</v>
      </c>
      <c r="E15">
        <v>3</v>
      </c>
    </row>
    <row r="16" spans="1:5" x14ac:dyDescent="0.3">
      <c r="A16" s="80" t="s">
        <v>118</v>
      </c>
      <c r="B16">
        <v>69.048648648648665</v>
      </c>
      <c r="C16">
        <v>13.290000000000003</v>
      </c>
      <c r="D16">
        <v>298</v>
      </c>
      <c r="E16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9164CD-4642-4DB3-93C8-70B46E1E60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Dashboard</vt:lpstr>
      <vt:lpstr>Shift-A</vt:lpstr>
      <vt:lpstr>Shift-B</vt:lpstr>
      <vt:lpstr>Shift-C</vt:lpstr>
      <vt:lpstr>prod</vt:lpstr>
      <vt:lpstr>input</vt:lpstr>
      <vt:lpstr>result</vt:lpstr>
      <vt:lpstr>Sheet6</vt:lpstr>
      <vt:lpstr>Horizontal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Baizid Molla</cp:lastModifiedBy>
  <cp:lastPrinted>2024-09-29T02:06:29Z</cp:lastPrinted>
  <dcterms:created xsi:type="dcterms:W3CDTF">2015-06-05T18:17:20Z</dcterms:created>
  <dcterms:modified xsi:type="dcterms:W3CDTF">2024-10-12T06:27:11Z</dcterms:modified>
</cp:coreProperties>
</file>